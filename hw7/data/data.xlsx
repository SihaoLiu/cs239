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hao Liu\Google 云端硬盘（liusihao@g.ucla.edu）\UCLA PhD\PhD Courses\Grad\Minor - Programming Language\CS239\Homeworks\project\hw7\data\"/>
    </mc:Choice>
  </mc:AlternateContent>
  <bookViews>
    <workbookView xWindow="0" yWindow="0" windowWidth="31280" windowHeight="17230" activeTab="3"/>
  </bookViews>
  <sheets>
    <sheet name="dj_data" sheetId="1" r:id="rId1"/>
    <sheet name="bv_data" sheetId="2" r:id="rId2"/>
    <sheet name="dj-error" sheetId="3" r:id="rId3"/>
    <sheet name="bv-error" sheetId="4" r:id="rId4"/>
  </sheets>
  <definedNames>
    <definedName name="_xlchart.0" hidden="1">bv_data!$F$2:$F$125</definedName>
    <definedName name="_xlchart.1" hidden="1">bv_data!$N$1</definedName>
    <definedName name="_xlchart.2" hidden="1">bv_data!$N$2:$N$125</definedName>
    <definedName name="_xlchart.3" hidden="1">bv_data!$F$2:$F$125</definedName>
    <definedName name="_xlchart.4" hidden="1">bv_data!$N$1</definedName>
    <definedName name="_xlchart.5" hidden="1">bv_data!$N$2:$N$125</definedName>
    <definedName name="_xlchart.6" hidden="1">bv_data!$F$2:$F$125</definedName>
    <definedName name="_xlchart.7" hidden="1">bv_data!$G$1</definedName>
    <definedName name="_xlchart.8" hidden="1">bv_data!$G$2:$G$125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2" i="2"/>
  <c r="C22" i="4" l="1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6" i="3"/>
  <c r="C7" i="3"/>
  <c r="C8" i="3"/>
  <c r="C9" i="3"/>
  <c r="C10" i="3"/>
  <c r="C11" i="3"/>
  <c r="C12" i="3"/>
  <c r="C13" i="3"/>
  <c r="C14" i="3"/>
  <c r="C15" i="3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2" i="1"/>
</calcChain>
</file>

<file path=xl/sharedStrings.xml><?xml version="1.0" encoding="utf-8"?>
<sst xmlns="http://schemas.openxmlformats.org/spreadsheetml/2006/main" count="978" uniqueCount="366">
  <si>
    <t>num_qubits</t>
  </si>
  <si>
    <t xml:space="preserve"> function_type</t>
  </si>
  <si>
    <t xml:space="preserve"> num_x_gate</t>
  </si>
  <si>
    <t xml:space="preserve"> num_h_gate</t>
  </si>
  <si>
    <t xml:space="preserve"> num_cnot_gate</t>
  </si>
  <si>
    <t xml:space="preserve"> num_total_gate</t>
  </si>
  <si>
    <t xml:space="preserve"> real_time</t>
  </si>
  <si>
    <t xml:space="preserve"> sim_time</t>
  </si>
  <si>
    <t xml:space="preserve"> real_result</t>
  </si>
  <si>
    <t xml:space="preserve"> sim_result</t>
  </si>
  <si>
    <t xml:space="preserve"> backand_name</t>
  </si>
  <si>
    <t xml:space="preserve"> trials</t>
  </si>
  <si>
    <t xml:space="preserve"> ibmq_16_melbourne</t>
  </si>
  <si>
    <t xml:space="preserve"> ibmq_burlington</t>
  </si>
  <si>
    <t xml:space="preserve"> answer</t>
  </si>
  <si>
    <t xml:space="preserve"> num_i_gate</t>
  </si>
  <si>
    <t>real time per trials</t>
  </si>
  <si>
    <t>sim time per trials</t>
  </si>
  <si>
    <t>11000000100100</t>
  </si>
  <si>
    <t>11100010000000</t>
  </si>
  <si>
    <t>11101100010000</t>
  </si>
  <si>
    <t>10000110</t>
  </si>
  <si>
    <t>10000110000000</t>
  </si>
  <si>
    <t>0</t>
  </si>
  <si>
    <t>100000</t>
  </si>
  <si>
    <t>1000000000000</t>
  </si>
  <si>
    <t>1010000101000</t>
  </si>
  <si>
    <t>101000100101</t>
  </si>
  <si>
    <t>101000000000</t>
  </si>
  <si>
    <t>11001110001101</t>
  </si>
  <si>
    <t>11101111110011</t>
  </si>
  <si>
    <t>01111101110010</t>
  </si>
  <si>
    <t>00000010000110</t>
  </si>
  <si>
    <t>11000010010110</t>
  </si>
  <si>
    <t>10000100101000</t>
  </si>
  <si>
    <t>00000011100000</t>
  </si>
  <si>
    <t>11111011010010</t>
  </si>
  <si>
    <t>00000000010110</t>
  </si>
  <si>
    <t>10110000010110</t>
  </si>
  <si>
    <t>00000000000000</t>
  </si>
  <si>
    <t>01101001111111</t>
  </si>
  <si>
    <t>00000000100000</t>
  </si>
  <si>
    <t>00001000110111</t>
  </si>
  <si>
    <t>1110101110011</t>
  </si>
  <si>
    <t>0000010001000</t>
  </si>
  <si>
    <t>0110011111100</t>
  </si>
  <si>
    <t>0011000000100</t>
  </si>
  <si>
    <t>0011110010110</t>
  </si>
  <si>
    <t>0010110001100</t>
  </si>
  <si>
    <t>0010100110101</t>
  </si>
  <si>
    <t>0001110100001</t>
  </si>
  <si>
    <t>0001100101001</t>
  </si>
  <si>
    <t>1110000000100</t>
  </si>
  <si>
    <t>0110000010101</t>
  </si>
  <si>
    <t>0010010000000</t>
  </si>
  <si>
    <t>0110100110111</t>
  </si>
  <si>
    <t>1011110101011</t>
  </si>
  <si>
    <t>0100000011010</t>
  </si>
  <si>
    <t>0100010111010</t>
  </si>
  <si>
    <t>0000000000000</t>
  </si>
  <si>
    <t>000000111100</t>
  </si>
  <si>
    <t>000000111110</t>
  </si>
  <si>
    <t>010011010100</t>
  </si>
  <si>
    <t>010011100110</t>
  </si>
  <si>
    <t>111101101000</t>
  </si>
  <si>
    <t>101000001001</t>
  </si>
  <si>
    <t>000100010011</t>
  </si>
  <si>
    <t>001100111111</t>
  </si>
  <si>
    <t>000010000000</t>
  </si>
  <si>
    <t>000100011101</t>
  </si>
  <si>
    <t>101110000000</t>
  </si>
  <si>
    <t>111011111111</t>
  </si>
  <si>
    <t>010010110000</t>
  </si>
  <si>
    <t>010010011000</t>
  </si>
  <si>
    <t>011001001000</t>
  </si>
  <si>
    <t>011011001010</t>
  </si>
  <si>
    <t>000000000000</t>
  </si>
  <si>
    <t>00101011001</t>
  </si>
  <si>
    <t>00111011101</t>
  </si>
  <si>
    <t>10100000001</t>
  </si>
  <si>
    <t>10101100001</t>
  </si>
  <si>
    <t>01110000000</t>
  </si>
  <si>
    <t>01111000000</t>
  </si>
  <si>
    <t>11000100000</t>
  </si>
  <si>
    <t>10000110011</t>
  </si>
  <si>
    <t>00100001000</t>
  </si>
  <si>
    <t>00100101101</t>
  </si>
  <si>
    <t>00001000010</t>
  </si>
  <si>
    <t>00100010011</t>
  </si>
  <si>
    <t>00000011001</t>
  </si>
  <si>
    <t>11010011111</t>
  </si>
  <si>
    <t>00010000101</t>
  </si>
  <si>
    <t>00001010010</t>
  </si>
  <si>
    <t>11001010011</t>
  </si>
  <si>
    <t>00000000000</t>
  </si>
  <si>
    <t>0000001000</t>
  </si>
  <si>
    <t>1110011111</t>
  </si>
  <si>
    <t>0101000101</t>
  </si>
  <si>
    <t>1101000111</t>
  </si>
  <si>
    <t>1011100111</t>
  </si>
  <si>
    <t>0101000010</t>
  </si>
  <si>
    <t>0101000110</t>
  </si>
  <si>
    <t>0000010000</t>
  </si>
  <si>
    <t>0110010010</t>
  </si>
  <si>
    <t>0110010110</t>
  </si>
  <si>
    <t>1100110000</t>
  </si>
  <si>
    <t>1100111010</t>
  </si>
  <si>
    <t>0000000010</t>
  </si>
  <si>
    <t>1100010011</t>
  </si>
  <si>
    <t>0001010100</t>
  </si>
  <si>
    <t>0000000000</t>
  </si>
  <si>
    <t>000001110</t>
  </si>
  <si>
    <t>000101110</t>
  </si>
  <si>
    <t>000001001</t>
  </si>
  <si>
    <t>010011011</t>
  </si>
  <si>
    <t>000000000</t>
  </si>
  <si>
    <t>110000011</t>
  </si>
  <si>
    <t>010010101</t>
  </si>
  <si>
    <t>000110100</t>
  </si>
  <si>
    <t>000110101</t>
  </si>
  <si>
    <t>010101100</t>
  </si>
  <si>
    <t>101001101</t>
  </si>
  <si>
    <t>010010100</t>
  </si>
  <si>
    <t>100000000</t>
  </si>
  <si>
    <t>101000000</t>
  </si>
  <si>
    <t>110001000</t>
  </si>
  <si>
    <t>110001001</t>
  </si>
  <si>
    <t>00000000</t>
  </si>
  <si>
    <t>10100110</t>
  </si>
  <si>
    <t>10000000</t>
  </si>
  <si>
    <t>11101000</t>
  </si>
  <si>
    <t>00100010</t>
  </si>
  <si>
    <t>00101011</t>
  </si>
  <si>
    <t>00110100</t>
  </si>
  <si>
    <t>00111100</t>
  </si>
  <si>
    <t>11100001</t>
  </si>
  <si>
    <t>10011101</t>
  </si>
  <si>
    <t>10111101</t>
  </si>
  <si>
    <t>01010011</t>
  </si>
  <si>
    <t>01011011</t>
  </si>
  <si>
    <t>00101000</t>
  </si>
  <si>
    <t>10101100</t>
  </si>
  <si>
    <t>1001001</t>
  </si>
  <si>
    <t>0111101</t>
  </si>
  <si>
    <t>0111111</t>
  </si>
  <si>
    <t>0001000</t>
  </si>
  <si>
    <t>0001100</t>
  </si>
  <si>
    <t>1000000</t>
  </si>
  <si>
    <t>1100000</t>
  </si>
  <si>
    <t>0100001</t>
  </si>
  <si>
    <t>1101001</t>
  </si>
  <si>
    <t>1111111</t>
  </si>
  <si>
    <t>0101010</t>
  </si>
  <si>
    <t>1000010</t>
  </si>
  <si>
    <t>1001111</t>
  </si>
  <si>
    <t>0000000</t>
  </si>
  <si>
    <t>000000</t>
  </si>
  <si>
    <t>110111</t>
  </si>
  <si>
    <t>001010</t>
  </si>
  <si>
    <t>011110</t>
  </si>
  <si>
    <t>110001</t>
  </si>
  <si>
    <t>110000</t>
  </si>
  <si>
    <t>000111</t>
  </si>
  <si>
    <t>010000</t>
  </si>
  <si>
    <t>011000</t>
  </si>
  <si>
    <t>100101</t>
  </si>
  <si>
    <t>101101</t>
  </si>
  <si>
    <t>100100</t>
  </si>
  <si>
    <t>110101</t>
  </si>
  <si>
    <t>10010</t>
  </si>
  <si>
    <t>11011</t>
  </si>
  <si>
    <t>01000</t>
  </si>
  <si>
    <t>01010</t>
  </si>
  <si>
    <t>00000</t>
  </si>
  <si>
    <t>01111</t>
  </si>
  <si>
    <t>00010</t>
  </si>
  <si>
    <t>11111</t>
  </si>
  <si>
    <t>11100</t>
  </si>
  <si>
    <t>11101</t>
  </si>
  <si>
    <t>01110</t>
  </si>
  <si>
    <t>1001</t>
  </si>
  <si>
    <t>0001</t>
  </si>
  <si>
    <t>1000</t>
  </si>
  <si>
    <t>1101</t>
  </si>
  <si>
    <t>1011</t>
  </si>
  <si>
    <t>0100</t>
  </si>
  <si>
    <t>0000</t>
  </si>
  <si>
    <t>110</t>
  </si>
  <si>
    <t>001</t>
  </si>
  <si>
    <t>010</t>
  </si>
  <si>
    <t>101</t>
  </si>
  <si>
    <t>111</t>
  </si>
  <si>
    <t>100</t>
  </si>
  <si>
    <t>000</t>
  </si>
  <si>
    <t>11</t>
  </si>
  <si>
    <t>01</t>
  </si>
  <si>
    <t>10</t>
  </si>
  <si>
    <t>00</t>
  </si>
  <si>
    <t>1</t>
  </si>
  <si>
    <t>01100110000000</t>
  </si>
  <si>
    <t>00000000000100</t>
  </si>
  <si>
    <t>01011010000000</t>
  </si>
  <si>
    <t>10000100000000</t>
  </si>
  <si>
    <t>10001100000000</t>
  </si>
  <si>
    <t>00001000100000</t>
  </si>
  <si>
    <t>10111000000000</t>
  </si>
  <si>
    <t>00001000000100</t>
  </si>
  <si>
    <t>10101100000000</t>
  </si>
  <si>
    <t>10101000000000</t>
  </si>
  <si>
    <t>10001000000000</t>
  </si>
  <si>
    <t>00000010011001</t>
  </si>
  <si>
    <t>01111010000000</t>
  </si>
  <si>
    <t>00000000101000</t>
  </si>
  <si>
    <t>11011000000000</t>
  </si>
  <si>
    <t>10010000000000</t>
  </si>
  <si>
    <t>00000011100101</t>
  </si>
  <si>
    <t>00000010000001</t>
  </si>
  <si>
    <t>10100000000000</t>
  </si>
  <si>
    <t>1011110000000</t>
  </si>
  <si>
    <t>1000010000000</t>
  </si>
  <si>
    <t>1100010000000</t>
  </si>
  <si>
    <t>0000010001010</t>
  </si>
  <si>
    <t>0011001111100</t>
  </si>
  <si>
    <t>0000000100000</t>
  </si>
  <si>
    <t>0101110000000</t>
  </si>
  <si>
    <t>0100110000000</t>
  </si>
  <si>
    <t>1101100000000</t>
  </si>
  <si>
    <t>1110100000000</t>
  </si>
  <si>
    <t>1110000000000</t>
  </si>
  <si>
    <t>0011001110010</t>
  </si>
  <si>
    <t>0000000000010</t>
  </si>
  <si>
    <t>1100110000000</t>
  </si>
  <si>
    <t>1100000000000</t>
  </si>
  <si>
    <t>1111110000000</t>
  </si>
  <si>
    <t>0001000000110</t>
  </si>
  <si>
    <t>1111100000000</t>
  </si>
  <si>
    <t>110111000000</t>
  </si>
  <si>
    <t>100001000000</t>
  </si>
  <si>
    <t>000000001000</t>
  </si>
  <si>
    <t>110001000000</t>
  </si>
  <si>
    <t>000100001000</t>
  </si>
  <si>
    <t>000101010110</t>
  </si>
  <si>
    <t>000001010010</t>
  </si>
  <si>
    <t>001101101100</t>
  </si>
  <si>
    <t>000000100000</t>
  </si>
  <si>
    <t>000111100011</t>
  </si>
  <si>
    <t>101100000000</t>
  </si>
  <si>
    <t>000010000100</t>
  </si>
  <si>
    <t>100110000000</t>
  </si>
  <si>
    <t>100010000000</t>
  </si>
  <si>
    <t>101010000000</t>
  </si>
  <si>
    <t>110011000000</t>
  </si>
  <si>
    <t>00000001010</t>
  </si>
  <si>
    <t>00000001000</t>
  </si>
  <si>
    <t>01001001001</t>
  </si>
  <si>
    <t>00011100000</t>
  </si>
  <si>
    <t>01110000011</t>
  </si>
  <si>
    <t>00000000001</t>
  </si>
  <si>
    <t>00101111011</t>
  </si>
  <si>
    <t>00100100000</t>
  </si>
  <si>
    <t>01100111011</t>
  </si>
  <si>
    <t>01100100000</t>
  </si>
  <si>
    <t>11101010000</t>
  </si>
  <si>
    <t>00110100000</t>
  </si>
  <si>
    <t>11110100111</t>
  </si>
  <si>
    <t>00000111110</t>
  </si>
  <si>
    <t>10010010010</t>
  </si>
  <si>
    <t>00001001000</t>
  </si>
  <si>
    <t>00001000000</t>
  </si>
  <si>
    <t>00010010011</t>
  </si>
  <si>
    <t>00000000111</t>
  </si>
  <si>
    <t>0010010101</t>
  </si>
  <si>
    <t>0100000100</t>
  </si>
  <si>
    <t>0101101000</t>
  </si>
  <si>
    <t>0010000010</t>
  </si>
  <si>
    <t>0010000000</t>
  </si>
  <si>
    <t>0101101111</t>
  </si>
  <si>
    <t>0100000000</t>
  </si>
  <si>
    <t>1001111011</t>
  </si>
  <si>
    <t>0001101100</t>
  </si>
  <si>
    <t>1110011001</t>
  </si>
  <si>
    <t>1110000001</t>
  </si>
  <si>
    <t>1001101111</t>
  </si>
  <si>
    <t>1001101000</t>
  </si>
  <si>
    <t>0111001011</t>
  </si>
  <si>
    <t>0001000010</t>
  </si>
  <si>
    <t>0001100000</t>
  </si>
  <si>
    <t>0001000000</t>
  </si>
  <si>
    <t>1110111010</t>
  </si>
  <si>
    <t>0000001010</t>
  </si>
  <si>
    <t>110011001</t>
  </si>
  <si>
    <t>010000001</t>
  </si>
  <si>
    <t>100111110</t>
  </si>
  <si>
    <t>100100000</t>
  </si>
  <si>
    <t>111011001</t>
  </si>
  <si>
    <t>111000011</t>
  </si>
  <si>
    <t>010000011</t>
  </si>
  <si>
    <t>010010000</t>
  </si>
  <si>
    <t>010000000</t>
  </si>
  <si>
    <t>010100000</t>
  </si>
  <si>
    <t>011010000</t>
  </si>
  <si>
    <t>110111010</t>
  </si>
  <si>
    <t>011010110</t>
  </si>
  <si>
    <t>000010000</t>
  </si>
  <si>
    <t>10000001</t>
  </si>
  <si>
    <t>10111010</t>
  </si>
  <si>
    <t>00001010</t>
  </si>
  <si>
    <t>01010111</t>
  </si>
  <si>
    <t>01101111</t>
  </si>
  <si>
    <t>10101011</t>
  </si>
  <si>
    <t>00001000</t>
  </si>
  <si>
    <t>00101100</t>
  </si>
  <si>
    <t>11001101</t>
  </si>
  <si>
    <t>11001100</t>
  </si>
  <si>
    <t>01110111</t>
  </si>
  <si>
    <t>01010000</t>
  </si>
  <si>
    <t>00100000</t>
  </si>
  <si>
    <t>11100000</t>
  </si>
  <si>
    <t>1010001</t>
  </si>
  <si>
    <t>0001011</t>
  </si>
  <si>
    <t>1000001</t>
  </si>
  <si>
    <t>0000110</t>
  </si>
  <si>
    <t>0100110</t>
  </si>
  <si>
    <t>1101101</t>
  </si>
  <si>
    <t>1101000</t>
  </si>
  <si>
    <t>1000100</t>
  </si>
  <si>
    <t>0011101</t>
  </si>
  <si>
    <t>0011100</t>
  </si>
  <si>
    <t>0100101</t>
  </si>
  <si>
    <t>000001</t>
  </si>
  <si>
    <t>110011</t>
  </si>
  <si>
    <t>100111</t>
  </si>
  <si>
    <t>111010</t>
  </si>
  <si>
    <t>000100</t>
  </si>
  <si>
    <t>111000</t>
  </si>
  <si>
    <t>010010</t>
  </si>
  <si>
    <t>000011</t>
  </si>
  <si>
    <t>000010</t>
  </si>
  <si>
    <t>001000</t>
  </si>
  <si>
    <t>110010</t>
  </si>
  <si>
    <t>001110</t>
  </si>
  <si>
    <t>11001</t>
  </si>
  <si>
    <t>10001</t>
  </si>
  <si>
    <t>10000</t>
  </si>
  <si>
    <t>10100</t>
  </si>
  <si>
    <t>00110</t>
  </si>
  <si>
    <t>00100</t>
  </si>
  <si>
    <t>00101</t>
  </si>
  <si>
    <t>11010</t>
  </si>
  <si>
    <t>01011</t>
  </si>
  <si>
    <t>00001</t>
  </si>
  <si>
    <t>0101</t>
  </si>
  <si>
    <t>0110</t>
  </si>
  <si>
    <t>1111</t>
  </si>
  <si>
    <t>0111</t>
  </si>
  <si>
    <t>011</t>
  </si>
  <si>
    <t>hamming_dis</t>
  </si>
  <si>
    <t>num_qubit</t>
  </si>
  <si>
    <t>总计</t>
  </si>
  <si>
    <t>(空白)</t>
  </si>
  <si>
    <t>平均值项:hamming_dis</t>
  </si>
  <si>
    <t>行标签</t>
  </si>
  <si>
    <t>Avg. Hamming Distance</t>
  </si>
  <si>
    <t>Per Bit Error</t>
  </si>
  <si>
    <t>Real Time</t>
  </si>
  <si>
    <t>Sim.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</si>
</sst>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2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Sim./Real Compute</a:t>
            </a:r>
            <a:r>
              <a:rPr lang="en-US" sz="1800" baseline="0"/>
              <a:t> Time</a:t>
            </a:r>
            <a:r>
              <a:rPr lang="en-US" sz="1800"/>
              <a:t> vs. </a:t>
            </a:r>
            <a:r>
              <a:rPr lang="en-US" sz="1800" b="0" i="0" u="none" strike="noStrike" baseline="0">
                <a:effectLst/>
              </a:rPr>
              <a:t>Num. of Qubit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dj_data!$H$1</c:f>
              <c:strCache>
                <c:ptCount val="1"/>
                <c:pt idx="0">
                  <c:v> sim_time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name>Exp. Sim. Time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dj_data!$A$2:$A$148</c:f>
              <c:numCache>
                <c:formatCode>General</c:formatCode>
                <c:ptCount val="14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</c:numCache>
            </c:numRef>
          </c:xVal>
          <c:yVal>
            <c:numRef>
              <c:f>dj_data!$H$2:$H$148</c:f>
              <c:numCache>
                <c:formatCode>0.0000</c:formatCode>
                <c:ptCount val="147"/>
                <c:pt idx="0">
                  <c:v>3.4868717193603498E-3</c:v>
                </c:pt>
                <c:pt idx="1">
                  <c:v>3.4060478210449201E-3</c:v>
                </c:pt>
                <c:pt idx="2">
                  <c:v>3.2849311828613199E-3</c:v>
                </c:pt>
                <c:pt idx="3">
                  <c:v>4.5568943023681597E-3</c:v>
                </c:pt>
                <c:pt idx="4">
                  <c:v>4.3060779571533203E-3</c:v>
                </c:pt>
                <c:pt idx="5">
                  <c:v>4.0936470031738203E-3</c:v>
                </c:pt>
                <c:pt idx="6">
                  <c:v>3.7262439727783199E-3</c:v>
                </c:pt>
                <c:pt idx="7">
                  <c:v>3.43918800354003E-3</c:v>
                </c:pt>
                <c:pt idx="8">
                  <c:v>3.9825439453125E-3</c:v>
                </c:pt>
                <c:pt idx="9">
                  <c:v>3.1812191009521402E-3</c:v>
                </c:pt>
                <c:pt idx="10">
                  <c:v>3.1132698059082001E-3</c:v>
                </c:pt>
                <c:pt idx="11">
                  <c:v>3.1197071075439401E-3</c:v>
                </c:pt>
                <c:pt idx="12">
                  <c:v>4.0650367736816398E-3</c:v>
                </c:pt>
                <c:pt idx="13">
                  <c:v>3.90219688415527E-3</c:v>
                </c:pt>
                <c:pt idx="14">
                  <c:v>3.7899017333984301E-3</c:v>
                </c:pt>
                <c:pt idx="15">
                  <c:v>3.64518165588378E-3</c:v>
                </c:pt>
                <c:pt idx="16">
                  <c:v>3.7531852722167899E-3</c:v>
                </c:pt>
                <c:pt idx="17">
                  <c:v>3.2849311828613199E-3</c:v>
                </c:pt>
                <c:pt idx="18">
                  <c:v>3.7300586700439401E-3</c:v>
                </c:pt>
                <c:pt idx="19">
                  <c:v>4.1415691375732396E-3</c:v>
                </c:pt>
                <c:pt idx="20">
                  <c:v>3.7109851837158199E-3</c:v>
                </c:pt>
                <c:pt idx="21">
                  <c:v>2.6819705963134701E-3</c:v>
                </c:pt>
                <c:pt idx="22">
                  <c:v>2.4137496948242101E-3</c:v>
                </c:pt>
                <c:pt idx="23">
                  <c:v>3.9172172546386701E-3</c:v>
                </c:pt>
                <c:pt idx="24">
                  <c:v>3.42559814453125E-3</c:v>
                </c:pt>
                <c:pt idx="25">
                  <c:v>3.4503936767578099E-3</c:v>
                </c:pt>
                <c:pt idx="26">
                  <c:v>3.3929347991943299E-3</c:v>
                </c:pt>
                <c:pt idx="27">
                  <c:v>3.51309776306152E-3</c:v>
                </c:pt>
                <c:pt idx="28">
                  <c:v>3.00431251525878E-3</c:v>
                </c:pt>
                <c:pt idx="29">
                  <c:v>4.1737556457519497E-3</c:v>
                </c:pt>
                <c:pt idx="30">
                  <c:v>3.4892559051513598E-3</c:v>
                </c:pt>
                <c:pt idx="31">
                  <c:v>2.1393299102783199E-3</c:v>
                </c:pt>
                <c:pt idx="32">
                  <c:v>2.1812915802001901E-3</c:v>
                </c:pt>
                <c:pt idx="33">
                  <c:v>2.6412010192870998E-3</c:v>
                </c:pt>
                <c:pt idx="34">
                  <c:v>2.4409294128417899E-3</c:v>
                </c:pt>
                <c:pt idx="35">
                  <c:v>2.3989677429199201E-3</c:v>
                </c:pt>
                <c:pt idx="36">
                  <c:v>3.4959316253662101E-3</c:v>
                </c:pt>
                <c:pt idx="37">
                  <c:v>3.6382675170898398E-3</c:v>
                </c:pt>
                <c:pt idx="38">
                  <c:v>4.1670799255370998E-3</c:v>
                </c:pt>
                <c:pt idx="39">
                  <c:v>4.2970180511474601E-3</c:v>
                </c:pt>
                <c:pt idx="40">
                  <c:v>2.8386116027832001E-3</c:v>
                </c:pt>
                <c:pt idx="41">
                  <c:v>3.4415721893310499E-3</c:v>
                </c:pt>
                <c:pt idx="42">
                  <c:v>3.65447998046875E-3</c:v>
                </c:pt>
                <c:pt idx="43">
                  <c:v>2.2430419921875E-3</c:v>
                </c:pt>
                <c:pt idx="44">
                  <c:v>2.5651454925537101E-3</c:v>
                </c:pt>
                <c:pt idx="45">
                  <c:v>2.50768661499023E-3</c:v>
                </c:pt>
                <c:pt idx="46">
                  <c:v>2.7208328247070299E-3</c:v>
                </c:pt>
                <c:pt idx="47">
                  <c:v>2.427339553833E-3</c:v>
                </c:pt>
                <c:pt idx="48">
                  <c:v>2.7782917022705E-3</c:v>
                </c:pt>
                <c:pt idx="49">
                  <c:v>2.5005340576171801E-3</c:v>
                </c:pt>
                <c:pt idx="50">
                  <c:v>3.5660266876220699E-3</c:v>
                </c:pt>
                <c:pt idx="51">
                  <c:v>2.4790763854980399E-3</c:v>
                </c:pt>
                <c:pt idx="52">
                  <c:v>2.34818458557128E-3</c:v>
                </c:pt>
                <c:pt idx="53">
                  <c:v>1.94907188415527E-3</c:v>
                </c:pt>
                <c:pt idx="54">
                  <c:v>2.5880336761474601E-3</c:v>
                </c:pt>
                <c:pt idx="55">
                  <c:v>2.4306774139404201E-3</c:v>
                </c:pt>
                <c:pt idx="56">
                  <c:v>3.2136440277099601E-3</c:v>
                </c:pt>
                <c:pt idx="57">
                  <c:v>2.9914379119872999E-3</c:v>
                </c:pt>
                <c:pt idx="58">
                  <c:v>2.4545192718505799E-3</c:v>
                </c:pt>
                <c:pt idx="59">
                  <c:v>2.4676322937011701E-3</c:v>
                </c:pt>
                <c:pt idx="60">
                  <c:v>2.3844242095947201E-3</c:v>
                </c:pt>
                <c:pt idx="61">
                  <c:v>2.6426315307617101E-3</c:v>
                </c:pt>
                <c:pt idx="62">
                  <c:v>2.4266242980957001E-3</c:v>
                </c:pt>
                <c:pt idx="63">
                  <c:v>2.4352073669433498E-3</c:v>
                </c:pt>
                <c:pt idx="64">
                  <c:v>3.5495758056640599E-3</c:v>
                </c:pt>
                <c:pt idx="65">
                  <c:v>1.8706321716308501E-3</c:v>
                </c:pt>
                <c:pt idx="66">
                  <c:v>1.97362899780273E-3</c:v>
                </c:pt>
                <c:pt idx="67">
                  <c:v>1.8646717071533201E-3</c:v>
                </c:pt>
                <c:pt idx="68">
                  <c:v>2.0198822021484301E-3</c:v>
                </c:pt>
                <c:pt idx="69">
                  <c:v>2.1388530731201098E-3</c:v>
                </c:pt>
                <c:pt idx="70">
                  <c:v>2.2003650665283199E-3</c:v>
                </c:pt>
                <c:pt idx="71">
                  <c:v>2.21014022827148E-3</c:v>
                </c:pt>
                <c:pt idx="72">
                  <c:v>2.5961399078369102E-3</c:v>
                </c:pt>
                <c:pt idx="73">
                  <c:v>2.12335586547851E-3</c:v>
                </c:pt>
                <c:pt idx="74">
                  <c:v>2.1820068359375E-3</c:v>
                </c:pt>
                <c:pt idx="75">
                  <c:v>1.79314613342285E-3</c:v>
                </c:pt>
                <c:pt idx="76">
                  <c:v>1.7874240875244099E-3</c:v>
                </c:pt>
                <c:pt idx="77">
                  <c:v>2.3846626281738199E-3</c:v>
                </c:pt>
                <c:pt idx="78">
                  <c:v>2.1102428436279201E-3</c:v>
                </c:pt>
                <c:pt idx="79">
                  <c:v>1.9848346710205E-3</c:v>
                </c:pt>
                <c:pt idx="80">
                  <c:v>2.0287036895751901E-3</c:v>
                </c:pt>
                <c:pt idx="81">
                  <c:v>2.1395683288574201E-3</c:v>
                </c:pt>
                <c:pt idx="82">
                  <c:v>2.2246837615966701E-3</c:v>
                </c:pt>
                <c:pt idx="83">
                  <c:v>2.0644664764404201E-3</c:v>
                </c:pt>
                <c:pt idx="84">
                  <c:v>2.28118896484375E-3</c:v>
                </c:pt>
                <c:pt idx="85">
                  <c:v>2.01940536499023E-3</c:v>
                </c:pt>
                <c:pt idx="86">
                  <c:v>1.65152549743652E-3</c:v>
                </c:pt>
                <c:pt idx="87">
                  <c:v>1.6322135925292899E-3</c:v>
                </c:pt>
                <c:pt idx="88">
                  <c:v>3.43561172485351E-3</c:v>
                </c:pt>
                <c:pt idx="89">
                  <c:v>1.9686222076415998E-3</c:v>
                </c:pt>
                <c:pt idx="90">
                  <c:v>2.2027492523193299E-3</c:v>
                </c:pt>
                <c:pt idx="91">
                  <c:v>2.1905899047851502E-3</c:v>
                </c:pt>
                <c:pt idx="92">
                  <c:v>2.1038055419921801E-3</c:v>
                </c:pt>
                <c:pt idx="93">
                  <c:v>2.0453929901122999E-3</c:v>
                </c:pt>
                <c:pt idx="94">
                  <c:v>1.7261505126953099E-3</c:v>
                </c:pt>
                <c:pt idx="95">
                  <c:v>1.9536018371582001E-3</c:v>
                </c:pt>
                <c:pt idx="96">
                  <c:v>2.1059513092040998E-3</c:v>
                </c:pt>
                <c:pt idx="97">
                  <c:v>1.6102790832519501E-3</c:v>
                </c:pt>
                <c:pt idx="98">
                  <c:v>1.5583038330078099E-3</c:v>
                </c:pt>
                <c:pt idx="99">
                  <c:v>1.8568038940429601E-3</c:v>
                </c:pt>
                <c:pt idx="100">
                  <c:v>1.9230842590332001E-3</c:v>
                </c:pt>
                <c:pt idx="101">
                  <c:v>1.8932819366455E-3</c:v>
                </c:pt>
                <c:pt idx="102">
                  <c:v>1.71899795532226E-3</c:v>
                </c:pt>
                <c:pt idx="103">
                  <c:v>1.94430351257324E-3</c:v>
                </c:pt>
                <c:pt idx="104">
                  <c:v>1.7652511596679601E-3</c:v>
                </c:pt>
                <c:pt idx="105">
                  <c:v>1.85513496398925E-3</c:v>
                </c:pt>
                <c:pt idx="106">
                  <c:v>1.86896324157714E-3</c:v>
                </c:pt>
                <c:pt idx="107">
                  <c:v>1.8851757049560499E-3</c:v>
                </c:pt>
                <c:pt idx="108">
                  <c:v>1.4333724975585901E-3</c:v>
                </c:pt>
                <c:pt idx="109">
                  <c:v>1.45459175109863E-3</c:v>
                </c:pt>
                <c:pt idx="110">
                  <c:v>1.6131401062011699E-3</c:v>
                </c:pt>
                <c:pt idx="111">
                  <c:v>1.45459175109863E-3</c:v>
                </c:pt>
                <c:pt idx="112">
                  <c:v>1.63531303405761E-3</c:v>
                </c:pt>
                <c:pt idx="113">
                  <c:v>1.5978813171386699E-3</c:v>
                </c:pt>
                <c:pt idx="114">
                  <c:v>1.72948837280273E-3</c:v>
                </c:pt>
                <c:pt idx="115">
                  <c:v>1.6653537750244099E-3</c:v>
                </c:pt>
                <c:pt idx="116">
                  <c:v>1.53875350952148E-3</c:v>
                </c:pt>
                <c:pt idx="117">
                  <c:v>1.5518665313720701E-3</c:v>
                </c:pt>
                <c:pt idx="118">
                  <c:v>1.5647411346435499E-3</c:v>
                </c:pt>
                <c:pt idx="119">
                  <c:v>1.4295578002929601E-3</c:v>
                </c:pt>
                <c:pt idx="120">
                  <c:v>1.4262199401855399E-3</c:v>
                </c:pt>
                <c:pt idx="121">
                  <c:v>1.7056465148925701E-3</c:v>
                </c:pt>
                <c:pt idx="122">
                  <c:v>1.4033317565917899E-3</c:v>
                </c:pt>
                <c:pt idx="123">
                  <c:v>1.4612674713134701E-3</c:v>
                </c:pt>
                <c:pt idx="124">
                  <c:v>1.3544559478759701E-3</c:v>
                </c:pt>
                <c:pt idx="125">
                  <c:v>1.4007091522216699E-3</c:v>
                </c:pt>
                <c:pt idx="126">
                  <c:v>1.4231204986572201E-3</c:v>
                </c:pt>
                <c:pt idx="127">
                  <c:v>1.5759468078613201E-3</c:v>
                </c:pt>
                <c:pt idx="128">
                  <c:v>1.36041641235351E-3</c:v>
                </c:pt>
                <c:pt idx="129">
                  <c:v>1.8889904022216699E-3</c:v>
                </c:pt>
                <c:pt idx="130">
                  <c:v>1.21545791625976E-3</c:v>
                </c:pt>
                <c:pt idx="131">
                  <c:v>1.2772083282470701E-3</c:v>
                </c:pt>
                <c:pt idx="132">
                  <c:v>1.30844116210937E-3</c:v>
                </c:pt>
                <c:pt idx="133">
                  <c:v>1.2531280517578099E-3</c:v>
                </c:pt>
                <c:pt idx="134">
                  <c:v>1.28769874572753E-3</c:v>
                </c:pt>
                <c:pt idx="135">
                  <c:v>1.328706741333E-3</c:v>
                </c:pt>
                <c:pt idx="136">
                  <c:v>1.4195442199707001E-3</c:v>
                </c:pt>
                <c:pt idx="137">
                  <c:v>1.2373924255371001E-3</c:v>
                </c:pt>
                <c:pt idx="138">
                  <c:v>1.37829780578613E-3</c:v>
                </c:pt>
                <c:pt idx="139">
                  <c:v>1.30987167358398E-3</c:v>
                </c:pt>
                <c:pt idx="140">
                  <c:v>1.3344287872314401E-3</c:v>
                </c:pt>
                <c:pt idx="141">
                  <c:v>1.11889839172363E-3</c:v>
                </c:pt>
                <c:pt idx="142">
                  <c:v>1.13439559936523E-3</c:v>
                </c:pt>
                <c:pt idx="143">
                  <c:v>1.4386177062988201E-3</c:v>
                </c:pt>
                <c:pt idx="144">
                  <c:v>1.0776519775390599E-3</c:v>
                </c:pt>
                <c:pt idx="145">
                  <c:v>1.0483264923095701E-3</c:v>
                </c:pt>
                <c:pt idx="146">
                  <c:v>1.04022026062011E-3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16-45AE-8224-C215081D8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51824"/>
        <c:axId val="398652240"/>
      </c:scatterChart>
      <c:scatterChart>
        <c:scatterStyle val="lineMarker"/>
        <c:varyColors val="0"/>
        <c:ser>
          <c:idx val="0"/>
          <c:order val="0"/>
          <c:tx>
            <c:strRef>
              <c:f>dj_data!$G$1</c:f>
              <c:strCache>
                <c:ptCount val="1"/>
                <c:pt idx="0">
                  <c:v> real_time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Exp. Real Time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dj_data!$A$2:$A$148</c:f>
              <c:numCache>
                <c:formatCode>General</c:formatCode>
                <c:ptCount val="14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</c:numCache>
            </c:numRef>
          </c:xVal>
          <c:yVal>
            <c:numRef>
              <c:f>dj_data!$G$2:$G$148</c:f>
              <c:numCache>
                <c:formatCode>General</c:formatCode>
                <c:ptCount val="147"/>
                <c:pt idx="0">
                  <c:v>29.198802947998001</c:v>
                </c:pt>
                <c:pt idx="1">
                  <c:v>27.444428205490102</c:v>
                </c:pt>
                <c:pt idx="2">
                  <c:v>28.864775657653801</c:v>
                </c:pt>
                <c:pt idx="3">
                  <c:v>29.811679840087798</c:v>
                </c:pt>
                <c:pt idx="4">
                  <c:v>27.141618728637599</c:v>
                </c:pt>
                <c:pt idx="5">
                  <c:v>29.640186548233</c:v>
                </c:pt>
                <c:pt idx="6">
                  <c:v>28.408259630203201</c:v>
                </c:pt>
                <c:pt idx="7">
                  <c:v>32.304448366165097</c:v>
                </c:pt>
                <c:pt idx="8">
                  <c:v>30.011257410049399</c:v>
                </c:pt>
                <c:pt idx="9">
                  <c:v>30.063098430633499</c:v>
                </c:pt>
                <c:pt idx="10">
                  <c:v>30.639732599258402</c:v>
                </c:pt>
                <c:pt idx="11">
                  <c:v>26.4434444904327</c:v>
                </c:pt>
                <c:pt idx="12">
                  <c:v>27.7513797283172</c:v>
                </c:pt>
                <c:pt idx="13">
                  <c:v>27.870194911956698</c:v>
                </c:pt>
                <c:pt idx="14">
                  <c:v>29.445108890533401</c:v>
                </c:pt>
                <c:pt idx="15">
                  <c:v>27.334182262420601</c:v>
                </c:pt>
                <c:pt idx="16">
                  <c:v>27.860572576522799</c:v>
                </c:pt>
                <c:pt idx="17">
                  <c:v>27.569222927093499</c:v>
                </c:pt>
                <c:pt idx="18">
                  <c:v>28.491176128387401</c:v>
                </c:pt>
                <c:pt idx="19">
                  <c:v>27.282207965850802</c:v>
                </c:pt>
                <c:pt idx="20">
                  <c:v>26.346103668212798</c:v>
                </c:pt>
                <c:pt idx="21">
                  <c:v>28.427225828170702</c:v>
                </c:pt>
                <c:pt idx="22">
                  <c:v>26.791011810302699</c:v>
                </c:pt>
                <c:pt idx="23">
                  <c:v>26.542402267456001</c:v>
                </c:pt>
                <c:pt idx="24">
                  <c:v>27.3386130332946</c:v>
                </c:pt>
                <c:pt idx="25">
                  <c:v>25.7848477363586</c:v>
                </c:pt>
                <c:pt idx="26">
                  <c:v>26.329100608825598</c:v>
                </c:pt>
                <c:pt idx="27">
                  <c:v>26.380429267883301</c:v>
                </c:pt>
                <c:pt idx="28">
                  <c:v>28.5012335777282</c:v>
                </c:pt>
                <c:pt idx="29">
                  <c:v>26.333423137664699</c:v>
                </c:pt>
                <c:pt idx="30">
                  <c:v>26.724931478500299</c:v>
                </c:pt>
                <c:pt idx="31">
                  <c:v>25.685746908187799</c:v>
                </c:pt>
                <c:pt idx="32">
                  <c:v>27.185511112213099</c:v>
                </c:pt>
                <c:pt idx="33">
                  <c:v>25.711834669113099</c:v>
                </c:pt>
                <c:pt idx="34">
                  <c:v>25.611461877822801</c:v>
                </c:pt>
                <c:pt idx="35">
                  <c:v>25.5756816864013</c:v>
                </c:pt>
                <c:pt idx="36">
                  <c:v>25.543077230453399</c:v>
                </c:pt>
                <c:pt idx="37">
                  <c:v>26.1584725379943</c:v>
                </c:pt>
                <c:pt idx="38">
                  <c:v>25.616200685501099</c:v>
                </c:pt>
                <c:pt idx="39">
                  <c:v>25.9583353996276</c:v>
                </c:pt>
                <c:pt idx="40">
                  <c:v>25.304114341735801</c:v>
                </c:pt>
                <c:pt idx="41">
                  <c:v>25.900759220123199</c:v>
                </c:pt>
                <c:pt idx="42">
                  <c:v>25.621778011322</c:v>
                </c:pt>
                <c:pt idx="43">
                  <c:v>25.3194918632507</c:v>
                </c:pt>
                <c:pt idx="44">
                  <c:v>25.141736984252901</c:v>
                </c:pt>
                <c:pt idx="45">
                  <c:v>25.1153063774108</c:v>
                </c:pt>
                <c:pt idx="46">
                  <c:v>25.5728614330291</c:v>
                </c:pt>
                <c:pt idx="47">
                  <c:v>25.255096673965401</c:v>
                </c:pt>
                <c:pt idx="48">
                  <c:v>25.059091806411701</c:v>
                </c:pt>
                <c:pt idx="49">
                  <c:v>25.151455879211401</c:v>
                </c:pt>
                <c:pt idx="50">
                  <c:v>25.525844097137401</c:v>
                </c:pt>
                <c:pt idx="51">
                  <c:v>25.639288902282701</c:v>
                </c:pt>
                <c:pt idx="52">
                  <c:v>24.9257409572601</c:v>
                </c:pt>
                <c:pt idx="53">
                  <c:v>24.694831371307298</c:v>
                </c:pt>
                <c:pt idx="54">
                  <c:v>24.9568722248077</c:v>
                </c:pt>
                <c:pt idx="55">
                  <c:v>14.5975532531738</c:v>
                </c:pt>
                <c:pt idx="56">
                  <c:v>15.222301483154199</c:v>
                </c:pt>
                <c:pt idx="57">
                  <c:v>14.740151643753</c:v>
                </c:pt>
                <c:pt idx="58">
                  <c:v>14.666617631912199</c:v>
                </c:pt>
                <c:pt idx="59">
                  <c:v>14.6945149898529</c:v>
                </c:pt>
                <c:pt idx="60">
                  <c:v>14.578160524368201</c:v>
                </c:pt>
                <c:pt idx="61">
                  <c:v>14.8268094062805</c:v>
                </c:pt>
                <c:pt idx="62">
                  <c:v>14.701824903488101</c:v>
                </c:pt>
                <c:pt idx="63">
                  <c:v>14.8522744178771</c:v>
                </c:pt>
                <c:pt idx="64">
                  <c:v>14.828710556030201</c:v>
                </c:pt>
                <c:pt idx="65">
                  <c:v>14.5822792053222</c:v>
                </c:pt>
                <c:pt idx="66">
                  <c:v>9.4381859302520699</c:v>
                </c:pt>
                <c:pt idx="67">
                  <c:v>9.3418910503387398</c:v>
                </c:pt>
                <c:pt idx="68">
                  <c:v>9.3815741539001394</c:v>
                </c:pt>
                <c:pt idx="69">
                  <c:v>9.1861398220062203</c:v>
                </c:pt>
                <c:pt idx="70">
                  <c:v>9.2293555736541695</c:v>
                </c:pt>
                <c:pt idx="71">
                  <c:v>9.2621791362762398</c:v>
                </c:pt>
                <c:pt idx="72">
                  <c:v>9.6695182323455793</c:v>
                </c:pt>
                <c:pt idx="73">
                  <c:v>9.5406458377838099</c:v>
                </c:pt>
                <c:pt idx="74">
                  <c:v>9.2962729930877597</c:v>
                </c:pt>
                <c:pt idx="75">
                  <c:v>9.1658055782318097</c:v>
                </c:pt>
                <c:pt idx="76">
                  <c:v>8.99031662940979</c:v>
                </c:pt>
                <c:pt idx="77">
                  <c:v>6.53006744384765</c:v>
                </c:pt>
                <c:pt idx="78">
                  <c:v>6.8705716133117596</c:v>
                </c:pt>
                <c:pt idx="79">
                  <c:v>7.0095367431640598</c:v>
                </c:pt>
                <c:pt idx="80">
                  <c:v>6.4355151653289697</c:v>
                </c:pt>
                <c:pt idx="81">
                  <c:v>6.9549849033355704</c:v>
                </c:pt>
                <c:pt idx="82">
                  <c:v>6.7833557128906197</c:v>
                </c:pt>
                <c:pt idx="83">
                  <c:v>6.3187878131866402</c:v>
                </c:pt>
                <c:pt idx="84">
                  <c:v>6.6613643169402996</c:v>
                </c:pt>
                <c:pt idx="85">
                  <c:v>7.0236401557922301</c:v>
                </c:pt>
                <c:pt idx="86">
                  <c:v>6.43969678878784</c:v>
                </c:pt>
                <c:pt idx="87">
                  <c:v>6.6331193447113002</c:v>
                </c:pt>
                <c:pt idx="88">
                  <c:v>6.7287724018096897</c:v>
                </c:pt>
                <c:pt idx="89">
                  <c:v>6.6124103069305402</c:v>
                </c:pt>
                <c:pt idx="90">
                  <c:v>6.7073287963867099</c:v>
                </c:pt>
                <c:pt idx="91">
                  <c:v>6.2916960716247496</c:v>
                </c:pt>
                <c:pt idx="92">
                  <c:v>6.58496069908142</c:v>
                </c:pt>
                <c:pt idx="93">
                  <c:v>6.6740293502807599</c:v>
                </c:pt>
                <c:pt idx="94">
                  <c:v>6.6636178493499703</c:v>
                </c:pt>
                <c:pt idx="95">
                  <c:v>6.6776249408721897</c:v>
                </c:pt>
                <c:pt idx="96">
                  <c:v>6.4293928146362296</c:v>
                </c:pt>
                <c:pt idx="97">
                  <c:v>6.5624272823333696</c:v>
                </c:pt>
                <c:pt idx="98">
                  <c:v>6.2888877391815097</c:v>
                </c:pt>
                <c:pt idx="99">
                  <c:v>6.6010961532592702</c:v>
                </c:pt>
                <c:pt idx="100">
                  <c:v>6.3475315570831299</c:v>
                </c:pt>
                <c:pt idx="101">
                  <c:v>6.5053973197937003</c:v>
                </c:pt>
                <c:pt idx="102">
                  <c:v>6.3617048263549796</c:v>
                </c:pt>
                <c:pt idx="103">
                  <c:v>6.67228078842163</c:v>
                </c:pt>
                <c:pt idx="104">
                  <c:v>6.6434507369995099</c:v>
                </c:pt>
                <c:pt idx="105">
                  <c:v>6.7528123855590803</c:v>
                </c:pt>
                <c:pt idx="106">
                  <c:v>6.6139435768127397</c:v>
                </c:pt>
                <c:pt idx="107">
                  <c:v>6.5981431007385201</c:v>
                </c:pt>
                <c:pt idx="108">
                  <c:v>6.4047899246215803</c:v>
                </c:pt>
                <c:pt idx="109">
                  <c:v>6.4820036888122496</c:v>
                </c:pt>
                <c:pt idx="110">
                  <c:v>7.7898476123809797</c:v>
                </c:pt>
                <c:pt idx="111">
                  <c:v>7.3295760154724103</c:v>
                </c:pt>
                <c:pt idx="112">
                  <c:v>7.5197219848632804</c:v>
                </c:pt>
                <c:pt idx="113">
                  <c:v>7.8995676040649396</c:v>
                </c:pt>
                <c:pt idx="114">
                  <c:v>7.42913722991943</c:v>
                </c:pt>
                <c:pt idx="115">
                  <c:v>7.5477972030639604</c:v>
                </c:pt>
                <c:pt idx="116">
                  <c:v>7.3174548149108798</c:v>
                </c:pt>
                <c:pt idx="117">
                  <c:v>8.4214479923248202</c:v>
                </c:pt>
                <c:pt idx="118">
                  <c:v>7.6180498600006104</c:v>
                </c:pt>
                <c:pt idx="119">
                  <c:v>7.5961799621581996</c:v>
                </c:pt>
                <c:pt idx="120">
                  <c:v>7.7854716777801496</c:v>
                </c:pt>
                <c:pt idx="121">
                  <c:v>8.4318475723266602</c:v>
                </c:pt>
                <c:pt idx="122">
                  <c:v>7.3534386157989502</c:v>
                </c:pt>
                <c:pt idx="123">
                  <c:v>7.5484645366668701</c:v>
                </c:pt>
                <c:pt idx="124">
                  <c:v>7.7977306842803902</c:v>
                </c:pt>
                <c:pt idx="125">
                  <c:v>7.7931883335113499</c:v>
                </c:pt>
                <c:pt idx="126">
                  <c:v>7.4731483459472603</c:v>
                </c:pt>
                <c:pt idx="127">
                  <c:v>7.7029812335968</c:v>
                </c:pt>
                <c:pt idx="128">
                  <c:v>7.2797245979309002</c:v>
                </c:pt>
                <c:pt idx="129">
                  <c:v>7.2088739871978698</c:v>
                </c:pt>
                <c:pt idx="130">
                  <c:v>7.4858469963073704</c:v>
                </c:pt>
                <c:pt idx="131">
                  <c:v>7.6574223041534397</c:v>
                </c:pt>
                <c:pt idx="132">
                  <c:v>7.3764753341674796</c:v>
                </c:pt>
                <c:pt idx="133">
                  <c:v>7.6074280738830504</c:v>
                </c:pt>
                <c:pt idx="134">
                  <c:v>7.2940089702606201</c:v>
                </c:pt>
                <c:pt idx="135">
                  <c:v>7.5111613273620597</c:v>
                </c:pt>
                <c:pt idx="136">
                  <c:v>7.6377146244049001</c:v>
                </c:pt>
                <c:pt idx="137">
                  <c:v>7.3564500808715803</c:v>
                </c:pt>
                <c:pt idx="138">
                  <c:v>6.9957461357116699</c:v>
                </c:pt>
                <c:pt idx="139">
                  <c:v>7.4760937690734801</c:v>
                </c:pt>
                <c:pt idx="140">
                  <c:v>7.2521555423736501</c:v>
                </c:pt>
                <c:pt idx="141">
                  <c:v>7.2541308403015101</c:v>
                </c:pt>
                <c:pt idx="142">
                  <c:v>8.2833900451660103</c:v>
                </c:pt>
                <c:pt idx="143">
                  <c:v>6.7110924720764098</c:v>
                </c:pt>
                <c:pt idx="144">
                  <c:v>6.88000035285949</c:v>
                </c:pt>
                <c:pt idx="145">
                  <c:v>6.9699106216430602</c:v>
                </c:pt>
                <c:pt idx="146">
                  <c:v>6.8455281257629297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F-4089-9774-940E59C91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648560"/>
        <c:axId val="1908662288"/>
      </c:scatterChart>
      <c:valAx>
        <c:axId val="39865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Qubits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2240"/>
        <c:crosses val="autoZero"/>
        <c:crossBetween val="midCat"/>
      </c:valAx>
      <c:valAx>
        <c:axId val="3986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 Time (sec)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1824"/>
        <c:crosses val="autoZero"/>
        <c:crossBetween val="midCat"/>
      </c:valAx>
      <c:valAx>
        <c:axId val="19086622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Quantum Computer Time (sec)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48560"/>
        <c:crosses val="max"/>
        <c:crossBetween val="midCat"/>
      </c:valAx>
      <c:valAx>
        <c:axId val="190864856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08662288"/>
        <c:crosses val="max"/>
        <c:crossBetween val="midCat"/>
      </c:valAx>
      <c:spPr>
        <a:noFill/>
        <a:ln>
          <a:noFill/>
        </a:ln>
        <a:effectLst/>
      </c:spPr>
    </c:plotArea>
    <c:legend>
      <c:legendPos val="tr"/>
      <c:legendEntry>
        <c:idx val="3"/>
        <c:delete val="1"/>
      </c:legendEntry>
      <c:layout>
        <c:manualLayout>
          <c:xMode val="edge"/>
          <c:yMode val="edge"/>
          <c:x val="0.14755525947844814"/>
          <c:y val="0.16700757575757577"/>
          <c:w val="0.21408111309441852"/>
          <c:h val="0.315525797061761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Sim./Real Compute Time </a:t>
            </a:r>
            <a:r>
              <a:rPr lang="en-US" altLang="zh-CN" sz="1800"/>
              <a:t>per Trial vs. Total gates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dj_data!$N$1</c:f>
              <c:strCache>
                <c:ptCount val="1"/>
                <c:pt idx="0">
                  <c:v>sim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dj_data!$F$2:$F$148</c:f>
              <c:numCache>
                <c:formatCode>General</c:formatCode>
                <c:ptCount val="147"/>
                <c:pt idx="0">
                  <c:v>50</c:v>
                </c:pt>
                <c:pt idx="1">
                  <c:v>53</c:v>
                </c:pt>
                <c:pt idx="2">
                  <c:v>51</c:v>
                </c:pt>
                <c:pt idx="3">
                  <c:v>56</c:v>
                </c:pt>
                <c:pt idx="4">
                  <c:v>54</c:v>
                </c:pt>
                <c:pt idx="5">
                  <c:v>59</c:v>
                </c:pt>
                <c:pt idx="6">
                  <c:v>46</c:v>
                </c:pt>
                <c:pt idx="7">
                  <c:v>50</c:v>
                </c:pt>
                <c:pt idx="8">
                  <c:v>46</c:v>
                </c:pt>
                <c:pt idx="9">
                  <c:v>30</c:v>
                </c:pt>
                <c:pt idx="10">
                  <c:v>31</c:v>
                </c:pt>
                <c:pt idx="11">
                  <c:v>49</c:v>
                </c:pt>
                <c:pt idx="12">
                  <c:v>48</c:v>
                </c:pt>
                <c:pt idx="13">
                  <c:v>47</c:v>
                </c:pt>
                <c:pt idx="14">
                  <c:v>50</c:v>
                </c:pt>
                <c:pt idx="15">
                  <c:v>49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48</c:v>
                </c:pt>
                <c:pt idx="20">
                  <c:v>28</c:v>
                </c:pt>
                <c:pt idx="21">
                  <c:v>29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40</c:v>
                </c:pt>
                <c:pt idx="26">
                  <c:v>44</c:v>
                </c:pt>
                <c:pt idx="27">
                  <c:v>41</c:v>
                </c:pt>
                <c:pt idx="28">
                  <c:v>51</c:v>
                </c:pt>
                <c:pt idx="29">
                  <c:v>44</c:v>
                </c:pt>
                <c:pt idx="30">
                  <c:v>46</c:v>
                </c:pt>
                <c:pt idx="31">
                  <c:v>26</c:v>
                </c:pt>
                <c:pt idx="32">
                  <c:v>27</c:v>
                </c:pt>
                <c:pt idx="33">
                  <c:v>37</c:v>
                </c:pt>
                <c:pt idx="34">
                  <c:v>35</c:v>
                </c:pt>
                <c:pt idx="35">
                  <c:v>34</c:v>
                </c:pt>
                <c:pt idx="36">
                  <c:v>45</c:v>
                </c:pt>
                <c:pt idx="37">
                  <c:v>45</c:v>
                </c:pt>
                <c:pt idx="38">
                  <c:v>44</c:v>
                </c:pt>
                <c:pt idx="39">
                  <c:v>40</c:v>
                </c:pt>
                <c:pt idx="40">
                  <c:v>35</c:v>
                </c:pt>
                <c:pt idx="41">
                  <c:v>38</c:v>
                </c:pt>
                <c:pt idx="42">
                  <c:v>24</c:v>
                </c:pt>
                <c:pt idx="43">
                  <c:v>25</c:v>
                </c:pt>
                <c:pt idx="44">
                  <c:v>40</c:v>
                </c:pt>
                <c:pt idx="45">
                  <c:v>38</c:v>
                </c:pt>
                <c:pt idx="46">
                  <c:v>39</c:v>
                </c:pt>
                <c:pt idx="47">
                  <c:v>38</c:v>
                </c:pt>
                <c:pt idx="48">
                  <c:v>35</c:v>
                </c:pt>
                <c:pt idx="49">
                  <c:v>39</c:v>
                </c:pt>
                <c:pt idx="50">
                  <c:v>40</c:v>
                </c:pt>
                <c:pt idx="51">
                  <c:v>39</c:v>
                </c:pt>
                <c:pt idx="52">
                  <c:v>37</c:v>
                </c:pt>
                <c:pt idx="53">
                  <c:v>22</c:v>
                </c:pt>
                <c:pt idx="54">
                  <c:v>23</c:v>
                </c:pt>
                <c:pt idx="55">
                  <c:v>32</c:v>
                </c:pt>
                <c:pt idx="56">
                  <c:v>33</c:v>
                </c:pt>
                <c:pt idx="57">
                  <c:v>32</c:v>
                </c:pt>
                <c:pt idx="58">
                  <c:v>34</c:v>
                </c:pt>
                <c:pt idx="59">
                  <c:v>34</c:v>
                </c:pt>
                <c:pt idx="60">
                  <c:v>35</c:v>
                </c:pt>
                <c:pt idx="61">
                  <c:v>37</c:v>
                </c:pt>
                <c:pt idx="62">
                  <c:v>34</c:v>
                </c:pt>
                <c:pt idx="63">
                  <c:v>36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32</c:v>
                </c:pt>
                <c:pt idx="70">
                  <c:v>32</c:v>
                </c:pt>
                <c:pt idx="71">
                  <c:v>31</c:v>
                </c:pt>
                <c:pt idx="72">
                  <c:v>30</c:v>
                </c:pt>
                <c:pt idx="73">
                  <c:v>29</c:v>
                </c:pt>
                <c:pt idx="74">
                  <c:v>28</c:v>
                </c:pt>
                <c:pt idx="75">
                  <c:v>18</c:v>
                </c:pt>
                <c:pt idx="76">
                  <c:v>19</c:v>
                </c:pt>
                <c:pt idx="77">
                  <c:v>27</c:v>
                </c:pt>
                <c:pt idx="78">
                  <c:v>30</c:v>
                </c:pt>
                <c:pt idx="79">
                  <c:v>26</c:v>
                </c:pt>
                <c:pt idx="80">
                  <c:v>28</c:v>
                </c:pt>
                <c:pt idx="81">
                  <c:v>30</c:v>
                </c:pt>
                <c:pt idx="82">
                  <c:v>33</c:v>
                </c:pt>
                <c:pt idx="83">
                  <c:v>25</c:v>
                </c:pt>
                <c:pt idx="84">
                  <c:v>27</c:v>
                </c:pt>
                <c:pt idx="85">
                  <c:v>24</c:v>
                </c:pt>
                <c:pt idx="86">
                  <c:v>16</c:v>
                </c:pt>
                <c:pt idx="87">
                  <c:v>17</c:v>
                </c:pt>
                <c:pt idx="88">
                  <c:v>27</c:v>
                </c:pt>
                <c:pt idx="89">
                  <c:v>26</c:v>
                </c:pt>
                <c:pt idx="90">
                  <c:v>25</c:v>
                </c:pt>
                <c:pt idx="91">
                  <c:v>25</c:v>
                </c:pt>
                <c:pt idx="92">
                  <c:v>23</c:v>
                </c:pt>
                <c:pt idx="93">
                  <c:v>22</c:v>
                </c:pt>
                <c:pt idx="94">
                  <c:v>20</c:v>
                </c:pt>
                <c:pt idx="95">
                  <c:v>22</c:v>
                </c:pt>
                <c:pt idx="96">
                  <c:v>22</c:v>
                </c:pt>
                <c:pt idx="97">
                  <c:v>14</c:v>
                </c:pt>
                <c:pt idx="98">
                  <c:v>15</c:v>
                </c:pt>
                <c:pt idx="99">
                  <c:v>24</c:v>
                </c:pt>
                <c:pt idx="100">
                  <c:v>22</c:v>
                </c:pt>
                <c:pt idx="101">
                  <c:v>24</c:v>
                </c:pt>
                <c:pt idx="102">
                  <c:v>21</c:v>
                </c:pt>
                <c:pt idx="103">
                  <c:v>25</c:v>
                </c:pt>
                <c:pt idx="104">
                  <c:v>22</c:v>
                </c:pt>
                <c:pt idx="105">
                  <c:v>22</c:v>
                </c:pt>
                <c:pt idx="106">
                  <c:v>21</c:v>
                </c:pt>
                <c:pt idx="107">
                  <c:v>22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13</c:v>
                </c:pt>
                <c:pt idx="112">
                  <c:v>13</c:v>
                </c:pt>
                <c:pt idx="113">
                  <c:v>19</c:v>
                </c:pt>
                <c:pt idx="114">
                  <c:v>21</c:v>
                </c:pt>
                <c:pt idx="115">
                  <c:v>21</c:v>
                </c:pt>
                <c:pt idx="116">
                  <c:v>15</c:v>
                </c:pt>
                <c:pt idx="117">
                  <c:v>15</c:v>
                </c:pt>
                <c:pt idx="118">
                  <c:v>17</c:v>
                </c:pt>
                <c:pt idx="119">
                  <c:v>10</c:v>
                </c:pt>
                <c:pt idx="120">
                  <c:v>11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12</c:v>
                </c:pt>
                <c:pt idx="126">
                  <c:v>11</c:v>
                </c:pt>
                <c:pt idx="127">
                  <c:v>15</c:v>
                </c:pt>
                <c:pt idx="128">
                  <c:v>13</c:v>
                </c:pt>
                <c:pt idx="129">
                  <c:v>13</c:v>
                </c:pt>
                <c:pt idx="130">
                  <c:v>8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6</c:v>
                </c:pt>
                <c:pt idx="142">
                  <c:v>7</c:v>
                </c:pt>
                <c:pt idx="143">
                  <c:v>7</c:v>
                </c:pt>
                <c:pt idx="144">
                  <c:v>5</c:v>
                </c:pt>
                <c:pt idx="145">
                  <c:v>4</c:v>
                </c:pt>
                <c:pt idx="146">
                  <c:v>5</c:v>
                </c:pt>
              </c:numCache>
            </c:numRef>
          </c:xVal>
          <c:yVal>
            <c:numRef>
              <c:f>dj_data!$N$2:$N$148</c:f>
              <c:numCache>
                <c:formatCode>0.00E+00</c:formatCode>
                <c:ptCount val="147"/>
                <c:pt idx="0">
                  <c:v>4.256435204297302E-7</c:v>
                </c:pt>
                <c:pt idx="1">
                  <c:v>4.1577732190489748E-7</c:v>
                </c:pt>
                <c:pt idx="2">
                  <c:v>4.0099257603287596E-7</c:v>
                </c:pt>
                <c:pt idx="3">
                  <c:v>5.5626151151955075E-7</c:v>
                </c:pt>
                <c:pt idx="4">
                  <c:v>5.2564428187906742E-7</c:v>
                </c:pt>
                <c:pt idx="5">
                  <c:v>4.9971276894211674E-7</c:v>
                </c:pt>
                <c:pt idx="6">
                  <c:v>4.54863766208291E-7</c:v>
                </c:pt>
                <c:pt idx="7">
                  <c:v>4.1982275433838256E-7</c:v>
                </c:pt>
                <c:pt idx="8">
                  <c:v>4.8615038394927979E-7</c:v>
                </c:pt>
                <c:pt idx="9">
                  <c:v>3.883324097841968E-7</c:v>
                </c:pt>
                <c:pt idx="10">
                  <c:v>3.8003781810402833E-7</c:v>
                </c:pt>
                <c:pt idx="11">
                  <c:v>3.8082362152635988E-7</c:v>
                </c:pt>
                <c:pt idx="12">
                  <c:v>4.9622030928730954E-7</c:v>
                </c:pt>
                <c:pt idx="13">
                  <c:v>4.763423930853601E-7</c:v>
                </c:pt>
                <c:pt idx="14">
                  <c:v>4.6263448894023805E-7</c:v>
                </c:pt>
                <c:pt idx="15">
                  <c:v>4.4496846385300048E-7</c:v>
                </c:pt>
                <c:pt idx="16">
                  <c:v>4.5815249904990112E-7</c:v>
                </c:pt>
                <c:pt idx="17">
                  <c:v>4.0099257603287596E-7</c:v>
                </c:pt>
                <c:pt idx="18">
                  <c:v>4.5532942749559816E-7</c:v>
                </c:pt>
                <c:pt idx="19">
                  <c:v>5.0556263886392085E-7</c:v>
                </c:pt>
                <c:pt idx="20">
                  <c:v>4.5300112105906004E-7</c:v>
                </c:pt>
                <c:pt idx="21">
                  <c:v>3.2738898880779664E-7</c:v>
                </c:pt>
                <c:pt idx="22">
                  <c:v>2.9464717954397096E-7</c:v>
                </c:pt>
                <c:pt idx="23">
                  <c:v>4.7817593440413454E-7</c:v>
                </c:pt>
                <c:pt idx="24">
                  <c:v>4.1816383600234985E-7</c:v>
                </c:pt>
                <c:pt idx="25">
                  <c:v>4.2119063436984984E-7</c:v>
                </c:pt>
                <c:pt idx="26">
                  <c:v>4.1417661122977659E-7</c:v>
                </c:pt>
                <c:pt idx="27">
                  <c:v>4.288449417799707E-7</c:v>
                </c:pt>
                <c:pt idx="28">
                  <c:v>3.6673736758530029E-7</c:v>
                </c:pt>
                <c:pt idx="29">
                  <c:v>5.0949165597557979E-7</c:v>
                </c:pt>
                <c:pt idx="30">
                  <c:v>4.2593455873429685E-7</c:v>
                </c:pt>
                <c:pt idx="31">
                  <c:v>2.6114867068827147E-7</c:v>
                </c:pt>
                <c:pt idx="32">
                  <c:v>2.6627094484865602E-7</c:v>
                </c:pt>
                <c:pt idx="33">
                  <c:v>3.224122337996948E-7</c:v>
                </c:pt>
                <c:pt idx="34">
                  <c:v>2.9796501621603881E-7</c:v>
                </c:pt>
                <c:pt idx="35">
                  <c:v>2.9284274205565431E-7</c:v>
                </c:pt>
                <c:pt idx="36">
                  <c:v>4.2674946598708619E-7</c:v>
                </c:pt>
                <c:pt idx="37">
                  <c:v>4.4412445276975584E-7</c:v>
                </c:pt>
                <c:pt idx="38">
                  <c:v>5.0867674872279051E-7</c:v>
                </c:pt>
                <c:pt idx="39">
                  <c:v>5.2453833632171143E-7</c:v>
                </c:pt>
                <c:pt idx="40">
                  <c:v>3.465102054178711E-7</c:v>
                </c:pt>
                <c:pt idx="41">
                  <c:v>4.2011379264295043E-7</c:v>
                </c:pt>
                <c:pt idx="42">
                  <c:v>4.4610351324081421E-7</c:v>
                </c:pt>
                <c:pt idx="43">
                  <c:v>2.7380883693695068E-7</c:v>
                </c:pt>
                <c:pt idx="44">
                  <c:v>3.1312811188399781E-7</c:v>
                </c:pt>
                <c:pt idx="45">
                  <c:v>3.0611408874392457E-7</c:v>
                </c:pt>
                <c:pt idx="46">
                  <c:v>3.3213291317224487E-7</c:v>
                </c:pt>
                <c:pt idx="47">
                  <c:v>2.9630609788000488E-7</c:v>
                </c:pt>
                <c:pt idx="48">
                  <c:v>3.391469363123169E-7</c:v>
                </c:pt>
                <c:pt idx="49">
                  <c:v>3.0524097383022218E-7</c:v>
                </c:pt>
                <c:pt idx="50">
                  <c:v>4.3530599214136595E-7</c:v>
                </c:pt>
                <c:pt idx="51">
                  <c:v>3.026216290891162E-7</c:v>
                </c:pt>
                <c:pt idx="52">
                  <c:v>2.8664362616836914E-7</c:v>
                </c:pt>
                <c:pt idx="53">
                  <c:v>2.379238139837976E-7</c:v>
                </c:pt>
                <c:pt idx="54">
                  <c:v>3.1592207960784425E-7</c:v>
                </c:pt>
                <c:pt idx="55">
                  <c:v>5.9342710301279789E-7</c:v>
                </c:pt>
                <c:pt idx="56">
                  <c:v>7.8458106145262697E-7</c:v>
                </c:pt>
                <c:pt idx="57">
                  <c:v>7.3033152148127439E-7</c:v>
                </c:pt>
                <c:pt idx="58">
                  <c:v>5.9924786910414548E-7</c:v>
                </c:pt>
                <c:pt idx="59">
                  <c:v>6.0244929045438724E-7</c:v>
                </c:pt>
                <c:pt idx="60">
                  <c:v>5.8213481679558595E-7</c:v>
                </c:pt>
                <c:pt idx="61">
                  <c:v>6.4517371356487062E-7</c:v>
                </c:pt>
                <c:pt idx="62">
                  <c:v>5.9243757277727053E-7</c:v>
                </c:pt>
                <c:pt idx="63">
                  <c:v>5.9453304857015377E-7</c:v>
                </c:pt>
                <c:pt idx="64">
                  <c:v>8.6659565567970212E-7</c:v>
                </c:pt>
                <c:pt idx="65">
                  <c:v>4.56697307527063E-7</c:v>
                </c:pt>
                <c:pt idx="66">
                  <c:v>9.6368603408336428E-7</c:v>
                </c:pt>
                <c:pt idx="67">
                  <c:v>9.1048423200845708E-7</c:v>
                </c:pt>
                <c:pt idx="68">
                  <c:v>9.8627060651778815E-7</c:v>
                </c:pt>
                <c:pt idx="69">
                  <c:v>1.0443618521094286E-6</c:v>
                </c:pt>
                <c:pt idx="70">
                  <c:v>1.0743970051407812E-6</c:v>
                </c:pt>
                <c:pt idx="71">
                  <c:v>1.0791700333356836E-6</c:v>
                </c:pt>
                <c:pt idx="72">
                  <c:v>1.2676464393734913E-6</c:v>
                </c:pt>
                <c:pt idx="73">
                  <c:v>1.0367948561906787E-6</c:v>
                </c:pt>
                <c:pt idx="74">
                  <c:v>1.0654330253601074E-6</c:v>
                </c:pt>
                <c:pt idx="75">
                  <c:v>8.75559635460376E-7</c:v>
                </c:pt>
                <c:pt idx="76">
                  <c:v>8.7276566773652829E-7</c:v>
                </c:pt>
                <c:pt idx="77">
                  <c:v>2.328772097825996E-6</c:v>
                </c:pt>
                <c:pt idx="78">
                  <c:v>2.0607840269803908E-6</c:v>
                </c:pt>
                <c:pt idx="79">
                  <c:v>1.938315108418457E-6</c:v>
                </c:pt>
                <c:pt idx="80">
                  <c:v>1.9811559468507716E-6</c:v>
                </c:pt>
                <c:pt idx="81">
                  <c:v>2.0894221961498244E-6</c:v>
                </c:pt>
                <c:pt idx="82">
                  <c:v>2.1725427359342482E-6</c:v>
                </c:pt>
                <c:pt idx="83">
                  <c:v>2.0160805433988478E-6</c:v>
                </c:pt>
                <c:pt idx="84">
                  <c:v>2.2277235984802246E-6</c:v>
                </c:pt>
                <c:pt idx="85">
                  <c:v>1.9720755517482715E-6</c:v>
                </c:pt>
                <c:pt idx="86">
                  <c:v>1.6128178685903515E-6</c:v>
                </c:pt>
                <c:pt idx="87">
                  <c:v>1.5939585864543847E-6</c:v>
                </c:pt>
                <c:pt idx="88">
                  <c:v>3.3550895750522558E-6</c:v>
                </c:pt>
                <c:pt idx="89">
                  <c:v>1.9224826246499998E-6</c:v>
                </c:pt>
                <c:pt idx="90">
                  <c:v>2.1511223167180956E-6</c:v>
                </c:pt>
                <c:pt idx="91">
                  <c:v>2.1392479538917482E-6</c:v>
                </c:pt>
                <c:pt idx="92">
                  <c:v>2.0544975996017384E-6</c:v>
                </c:pt>
                <c:pt idx="93">
                  <c:v>1.9974540919065429E-6</c:v>
                </c:pt>
                <c:pt idx="94">
                  <c:v>1.6856938600540136E-6</c:v>
                </c:pt>
                <c:pt idx="95">
                  <c:v>1.9078142940998048E-6</c:v>
                </c:pt>
                <c:pt idx="96">
                  <c:v>2.0565930753946287E-6</c:v>
                </c:pt>
                <c:pt idx="97">
                  <c:v>1.5725381672382325E-6</c:v>
                </c:pt>
                <c:pt idx="98">
                  <c:v>1.5217810869216894E-6</c:v>
                </c:pt>
                <c:pt idx="99">
                  <c:v>1.8132850527763282E-6</c:v>
                </c:pt>
                <c:pt idx="100">
                  <c:v>1.8780119717121095E-6</c:v>
                </c:pt>
                <c:pt idx="101">
                  <c:v>1.8489081412553711E-6</c:v>
                </c:pt>
                <c:pt idx="102">
                  <c:v>1.6787089407443945E-6</c:v>
                </c:pt>
                <c:pt idx="103">
                  <c:v>1.8987338989973047E-6</c:v>
                </c:pt>
                <c:pt idx="104">
                  <c:v>1.7238780856132423E-6</c:v>
                </c:pt>
                <c:pt idx="105">
                  <c:v>1.811655238270752E-6</c:v>
                </c:pt>
                <c:pt idx="106">
                  <c:v>1.8251594156026758E-6</c:v>
                </c:pt>
                <c:pt idx="107">
                  <c:v>1.8409918993711425E-6</c:v>
                </c:pt>
                <c:pt idx="108">
                  <c:v>1.3997778296470606E-6</c:v>
                </c:pt>
                <c:pt idx="109">
                  <c:v>1.4204997569322559E-6</c:v>
                </c:pt>
                <c:pt idx="110">
                  <c:v>1.57533213496208E-6</c:v>
                </c:pt>
                <c:pt idx="111">
                  <c:v>1.4204997569322559E-6</c:v>
                </c:pt>
                <c:pt idx="112">
                  <c:v>1.5969853848218848E-6</c:v>
                </c:pt>
                <c:pt idx="113">
                  <c:v>1.5604309737682323E-6</c:v>
                </c:pt>
                <c:pt idx="114">
                  <c:v>1.6889534890651661E-6</c:v>
                </c:pt>
                <c:pt idx="115">
                  <c:v>1.6263220459222753E-6</c:v>
                </c:pt>
                <c:pt idx="116">
                  <c:v>1.5026889741420703E-6</c:v>
                </c:pt>
                <c:pt idx="117">
                  <c:v>1.5154946595430372E-6</c:v>
                </c:pt>
                <c:pt idx="118">
                  <c:v>1.5280675143003417E-6</c:v>
                </c:pt>
                <c:pt idx="119">
                  <c:v>1.3960525393485938E-6</c:v>
                </c:pt>
                <c:pt idx="120">
                  <c:v>1.3927929103374413E-6</c:v>
                </c:pt>
                <c:pt idx="121">
                  <c:v>1.6656704246997755E-6</c:v>
                </c:pt>
                <c:pt idx="122">
                  <c:v>1.3704411685466699E-6</c:v>
                </c:pt>
                <c:pt idx="123">
                  <c:v>1.4270190149545606E-6</c:v>
                </c:pt>
                <c:pt idx="124">
                  <c:v>1.322710886597627E-6</c:v>
                </c:pt>
                <c:pt idx="125">
                  <c:v>1.3678800314664745E-6</c:v>
                </c:pt>
                <c:pt idx="126">
                  <c:v>1.3897661119699415E-6</c:v>
                </c:pt>
                <c:pt idx="127">
                  <c:v>1.5390105545520704E-6</c:v>
                </c:pt>
                <c:pt idx="128">
                  <c:v>1.3285316526889746E-6</c:v>
                </c:pt>
                <c:pt idx="129">
                  <c:v>1.8447171896695995E-6</c:v>
                </c:pt>
                <c:pt idx="130">
                  <c:v>1.1869706213474219E-6</c:v>
                </c:pt>
                <c:pt idx="131">
                  <c:v>1.2472737580537794E-6</c:v>
                </c:pt>
                <c:pt idx="132">
                  <c:v>1.2777745723724317E-6</c:v>
                </c:pt>
                <c:pt idx="133">
                  <c:v>1.2237578630447362E-6</c:v>
                </c:pt>
                <c:pt idx="134">
                  <c:v>1.257518306374541E-6</c:v>
                </c:pt>
                <c:pt idx="135">
                  <c:v>1.2975651770830078E-6</c:v>
                </c:pt>
                <c:pt idx="136">
                  <c:v>1.3862736523151368E-6</c:v>
                </c:pt>
                <c:pt idx="137">
                  <c:v>1.2083910405635743E-6</c:v>
                </c:pt>
                <c:pt idx="138">
                  <c:v>1.3459939509630176E-6</c:v>
                </c:pt>
                <c:pt idx="139">
                  <c:v>1.2791715562343555E-6</c:v>
                </c:pt>
                <c:pt idx="140">
                  <c:v>1.3031531125307032E-6</c:v>
                </c:pt>
                <c:pt idx="141">
                  <c:v>1.0926742106676074E-6</c:v>
                </c:pt>
                <c:pt idx="142">
                  <c:v>1.1078082025051075E-6</c:v>
                </c:pt>
                <c:pt idx="143">
                  <c:v>1.4049001038074415E-6</c:v>
                </c:pt>
                <c:pt idx="144">
                  <c:v>1.0523945093154882E-6</c:v>
                </c:pt>
                <c:pt idx="145">
                  <c:v>1.0237563401460645E-6</c:v>
                </c:pt>
                <c:pt idx="146">
                  <c:v>1.0158400982618262E-6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B-4DC0-AE33-F6FEF053C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996832"/>
        <c:axId val="1699986848"/>
      </c:scatterChart>
      <c:scatterChart>
        <c:scatterStyle val="lineMarker"/>
        <c:varyColors val="0"/>
        <c:ser>
          <c:idx val="0"/>
          <c:order val="0"/>
          <c:tx>
            <c:strRef>
              <c:f>dj_data!$M$1</c:f>
              <c:strCache>
                <c:ptCount val="1"/>
                <c:pt idx="0">
                  <c:v>real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dj_data!$F$2:$F$148</c:f>
              <c:numCache>
                <c:formatCode>General</c:formatCode>
                <c:ptCount val="147"/>
                <c:pt idx="0">
                  <c:v>50</c:v>
                </c:pt>
                <c:pt idx="1">
                  <c:v>53</c:v>
                </c:pt>
                <c:pt idx="2">
                  <c:v>51</c:v>
                </c:pt>
                <c:pt idx="3">
                  <c:v>56</c:v>
                </c:pt>
                <c:pt idx="4">
                  <c:v>54</c:v>
                </c:pt>
                <c:pt idx="5">
                  <c:v>59</c:v>
                </c:pt>
                <c:pt idx="6">
                  <c:v>46</c:v>
                </c:pt>
                <c:pt idx="7">
                  <c:v>50</c:v>
                </c:pt>
                <c:pt idx="8">
                  <c:v>46</c:v>
                </c:pt>
                <c:pt idx="9">
                  <c:v>30</c:v>
                </c:pt>
                <c:pt idx="10">
                  <c:v>31</c:v>
                </c:pt>
                <c:pt idx="11">
                  <c:v>49</c:v>
                </c:pt>
                <c:pt idx="12">
                  <c:v>48</c:v>
                </c:pt>
                <c:pt idx="13">
                  <c:v>47</c:v>
                </c:pt>
                <c:pt idx="14">
                  <c:v>50</c:v>
                </c:pt>
                <c:pt idx="15">
                  <c:v>49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48</c:v>
                </c:pt>
                <c:pt idx="20">
                  <c:v>28</c:v>
                </c:pt>
                <c:pt idx="21">
                  <c:v>29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40</c:v>
                </c:pt>
                <c:pt idx="26">
                  <c:v>44</c:v>
                </c:pt>
                <c:pt idx="27">
                  <c:v>41</c:v>
                </c:pt>
                <c:pt idx="28">
                  <c:v>51</c:v>
                </c:pt>
                <c:pt idx="29">
                  <c:v>44</c:v>
                </c:pt>
                <c:pt idx="30">
                  <c:v>46</c:v>
                </c:pt>
                <c:pt idx="31">
                  <c:v>26</c:v>
                </c:pt>
                <c:pt idx="32">
                  <c:v>27</c:v>
                </c:pt>
                <c:pt idx="33">
                  <c:v>37</c:v>
                </c:pt>
                <c:pt idx="34">
                  <c:v>35</c:v>
                </c:pt>
                <c:pt idx="35">
                  <c:v>34</c:v>
                </c:pt>
                <c:pt idx="36">
                  <c:v>45</c:v>
                </c:pt>
                <c:pt idx="37">
                  <c:v>45</c:v>
                </c:pt>
                <c:pt idx="38">
                  <c:v>44</c:v>
                </c:pt>
                <c:pt idx="39">
                  <c:v>40</c:v>
                </c:pt>
                <c:pt idx="40">
                  <c:v>35</c:v>
                </c:pt>
                <c:pt idx="41">
                  <c:v>38</c:v>
                </c:pt>
                <c:pt idx="42">
                  <c:v>24</c:v>
                </c:pt>
                <c:pt idx="43">
                  <c:v>25</c:v>
                </c:pt>
                <c:pt idx="44">
                  <c:v>40</c:v>
                </c:pt>
                <c:pt idx="45">
                  <c:v>38</c:v>
                </c:pt>
                <c:pt idx="46">
                  <c:v>39</c:v>
                </c:pt>
                <c:pt idx="47">
                  <c:v>38</c:v>
                </c:pt>
                <c:pt idx="48">
                  <c:v>35</c:v>
                </c:pt>
                <c:pt idx="49">
                  <c:v>39</c:v>
                </c:pt>
                <c:pt idx="50">
                  <c:v>40</c:v>
                </c:pt>
                <c:pt idx="51">
                  <c:v>39</c:v>
                </c:pt>
                <c:pt idx="52">
                  <c:v>37</c:v>
                </c:pt>
                <c:pt idx="53">
                  <c:v>22</c:v>
                </c:pt>
                <c:pt idx="54">
                  <c:v>23</c:v>
                </c:pt>
                <c:pt idx="55">
                  <c:v>32</c:v>
                </c:pt>
                <c:pt idx="56">
                  <c:v>33</c:v>
                </c:pt>
                <c:pt idx="57">
                  <c:v>32</c:v>
                </c:pt>
                <c:pt idx="58">
                  <c:v>34</c:v>
                </c:pt>
                <c:pt idx="59">
                  <c:v>34</c:v>
                </c:pt>
                <c:pt idx="60">
                  <c:v>35</c:v>
                </c:pt>
                <c:pt idx="61">
                  <c:v>37</c:v>
                </c:pt>
                <c:pt idx="62">
                  <c:v>34</c:v>
                </c:pt>
                <c:pt idx="63">
                  <c:v>36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32</c:v>
                </c:pt>
                <c:pt idx="70">
                  <c:v>32</c:v>
                </c:pt>
                <c:pt idx="71">
                  <c:v>31</c:v>
                </c:pt>
                <c:pt idx="72">
                  <c:v>30</c:v>
                </c:pt>
                <c:pt idx="73">
                  <c:v>29</c:v>
                </c:pt>
                <c:pt idx="74">
                  <c:v>28</c:v>
                </c:pt>
                <c:pt idx="75">
                  <c:v>18</c:v>
                </c:pt>
                <c:pt idx="76">
                  <c:v>19</c:v>
                </c:pt>
                <c:pt idx="77">
                  <c:v>27</c:v>
                </c:pt>
                <c:pt idx="78">
                  <c:v>30</c:v>
                </c:pt>
                <c:pt idx="79">
                  <c:v>26</c:v>
                </c:pt>
                <c:pt idx="80">
                  <c:v>28</c:v>
                </c:pt>
                <c:pt idx="81">
                  <c:v>30</c:v>
                </c:pt>
                <c:pt idx="82">
                  <c:v>33</c:v>
                </c:pt>
                <c:pt idx="83">
                  <c:v>25</c:v>
                </c:pt>
                <c:pt idx="84">
                  <c:v>27</c:v>
                </c:pt>
                <c:pt idx="85">
                  <c:v>24</c:v>
                </c:pt>
                <c:pt idx="86">
                  <c:v>16</c:v>
                </c:pt>
                <c:pt idx="87">
                  <c:v>17</c:v>
                </c:pt>
                <c:pt idx="88">
                  <c:v>27</c:v>
                </c:pt>
                <c:pt idx="89">
                  <c:v>26</c:v>
                </c:pt>
                <c:pt idx="90">
                  <c:v>25</c:v>
                </c:pt>
                <c:pt idx="91">
                  <c:v>25</c:v>
                </c:pt>
                <c:pt idx="92">
                  <c:v>23</c:v>
                </c:pt>
                <c:pt idx="93">
                  <c:v>22</c:v>
                </c:pt>
                <c:pt idx="94">
                  <c:v>20</c:v>
                </c:pt>
                <c:pt idx="95">
                  <c:v>22</c:v>
                </c:pt>
                <c:pt idx="96">
                  <c:v>22</c:v>
                </c:pt>
                <c:pt idx="97">
                  <c:v>14</c:v>
                </c:pt>
                <c:pt idx="98">
                  <c:v>15</c:v>
                </c:pt>
                <c:pt idx="99">
                  <c:v>24</c:v>
                </c:pt>
                <c:pt idx="100">
                  <c:v>22</c:v>
                </c:pt>
                <c:pt idx="101">
                  <c:v>24</c:v>
                </c:pt>
                <c:pt idx="102">
                  <c:v>21</c:v>
                </c:pt>
                <c:pt idx="103">
                  <c:v>25</c:v>
                </c:pt>
                <c:pt idx="104">
                  <c:v>22</c:v>
                </c:pt>
                <c:pt idx="105">
                  <c:v>22</c:v>
                </c:pt>
                <c:pt idx="106">
                  <c:v>21</c:v>
                </c:pt>
                <c:pt idx="107">
                  <c:v>22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13</c:v>
                </c:pt>
                <c:pt idx="112">
                  <c:v>13</c:v>
                </c:pt>
                <c:pt idx="113">
                  <c:v>19</c:v>
                </c:pt>
                <c:pt idx="114">
                  <c:v>21</c:v>
                </c:pt>
                <c:pt idx="115">
                  <c:v>21</c:v>
                </c:pt>
                <c:pt idx="116">
                  <c:v>15</c:v>
                </c:pt>
                <c:pt idx="117">
                  <c:v>15</c:v>
                </c:pt>
                <c:pt idx="118">
                  <c:v>17</c:v>
                </c:pt>
                <c:pt idx="119">
                  <c:v>10</c:v>
                </c:pt>
                <c:pt idx="120">
                  <c:v>11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12</c:v>
                </c:pt>
                <c:pt idx="126">
                  <c:v>11</c:v>
                </c:pt>
                <c:pt idx="127">
                  <c:v>15</c:v>
                </c:pt>
                <c:pt idx="128">
                  <c:v>13</c:v>
                </c:pt>
                <c:pt idx="129">
                  <c:v>13</c:v>
                </c:pt>
                <c:pt idx="130">
                  <c:v>8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6</c:v>
                </c:pt>
                <c:pt idx="142">
                  <c:v>7</c:v>
                </c:pt>
                <c:pt idx="143">
                  <c:v>7</c:v>
                </c:pt>
                <c:pt idx="144">
                  <c:v>5</c:v>
                </c:pt>
                <c:pt idx="145">
                  <c:v>4</c:v>
                </c:pt>
                <c:pt idx="146">
                  <c:v>5</c:v>
                </c:pt>
              </c:numCache>
            </c:numRef>
          </c:xVal>
          <c:yVal>
            <c:numRef>
              <c:f>dj_data!$M$2:$M$148</c:f>
              <c:numCache>
                <c:formatCode>General</c:formatCode>
                <c:ptCount val="147"/>
                <c:pt idx="0">
                  <c:v>3.5643070004880372E-3</c:v>
                </c:pt>
                <c:pt idx="1">
                  <c:v>3.3501499274279909E-3</c:v>
                </c:pt>
                <c:pt idx="2">
                  <c:v>3.5235321847721926E-3</c:v>
                </c:pt>
                <c:pt idx="3">
                  <c:v>3.6391210742294676E-3</c:v>
                </c:pt>
                <c:pt idx="4">
                  <c:v>3.3131858799606445E-3</c:v>
                </c:pt>
                <c:pt idx="5">
                  <c:v>3.6181868345010987E-3</c:v>
                </c:pt>
                <c:pt idx="6">
                  <c:v>3.4678051306400392E-3</c:v>
                </c:pt>
                <c:pt idx="7">
                  <c:v>3.9434141071978878E-3</c:v>
                </c:pt>
                <c:pt idx="8">
                  <c:v>3.6634835705626708E-3</c:v>
                </c:pt>
                <c:pt idx="9">
                  <c:v>3.6698118201456908E-3</c:v>
                </c:pt>
                <c:pt idx="10">
                  <c:v>3.7402017333079103E-3</c:v>
                </c:pt>
                <c:pt idx="11">
                  <c:v>3.227959532523523E-3</c:v>
                </c:pt>
                <c:pt idx="12">
                  <c:v>3.3876195957418457E-3</c:v>
                </c:pt>
                <c:pt idx="13">
                  <c:v>3.4021234023384641E-3</c:v>
                </c:pt>
                <c:pt idx="14">
                  <c:v>3.5943736438639406E-3</c:v>
                </c:pt>
                <c:pt idx="15">
                  <c:v>3.3366921707056398E-3</c:v>
                </c:pt>
                <c:pt idx="16">
                  <c:v>3.4009488008450682E-3</c:v>
                </c:pt>
                <c:pt idx="17">
                  <c:v>3.3653836580924681E-3</c:v>
                </c:pt>
                <c:pt idx="18">
                  <c:v>3.4779267734847902E-3</c:v>
                </c:pt>
                <c:pt idx="19">
                  <c:v>3.3303476520813967E-3</c:v>
                </c:pt>
                <c:pt idx="20">
                  <c:v>3.2160771079361326E-3</c:v>
                </c:pt>
                <c:pt idx="21">
                  <c:v>3.4701203403528689E-3</c:v>
                </c:pt>
                <c:pt idx="22">
                  <c:v>3.2703871838748412E-3</c:v>
                </c:pt>
                <c:pt idx="23">
                  <c:v>3.2400393392890627E-3</c:v>
                </c:pt>
                <c:pt idx="24">
                  <c:v>3.3372330362908447E-3</c:v>
                </c:pt>
                <c:pt idx="25">
                  <c:v>3.1475644209422119E-3</c:v>
                </c:pt>
                <c:pt idx="26">
                  <c:v>3.214001539163281E-3</c:v>
                </c:pt>
                <c:pt idx="27">
                  <c:v>3.2202672446146607E-3</c:v>
                </c:pt>
                <c:pt idx="28">
                  <c:v>3.4791544894687745E-3</c:v>
                </c:pt>
                <c:pt idx="29">
                  <c:v>3.2145291916094603E-3</c:v>
                </c:pt>
                <c:pt idx="30">
                  <c:v>3.2623207371216185E-3</c:v>
                </c:pt>
                <c:pt idx="31">
                  <c:v>3.1354671518783934E-3</c:v>
                </c:pt>
                <c:pt idx="32">
                  <c:v>3.3185438369400756E-3</c:v>
                </c:pt>
                <c:pt idx="33">
                  <c:v>3.1386516930069701E-3</c:v>
                </c:pt>
                <c:pt idx="34">
                  <c:v>3.1263991550076662E-3</c:v>
                </c:pt>
                <c:pt idx="35">
                  <c:v>3.1220314558595337E-3</c:v>
                </c:pt>
                <c:pt idx="36">
                  <c:v>3.1180514197330809E-3</c:v>
                </c:pt>
                <c:pt idx="37">
                  <c:v>3.1931729172356323E-3</c:v>
                </c:pt>
                <c:pt idx="38">
                  <c:v>3.1269776227418333E-3</c:v>
                </c:pt>
                <c:pt idx="39">
                  <c:v>3.1687421142123536E-3</c:v>
                </c:pt>
                <c:pt idx="40">
                  <c:v>3.088881145231421E-3</c:v>
                </c:pt>
                <c:pt idx="41">
                  <c:v>3.1617137719876951E-3</c:v>
                </c:pt>
                <c:pt idx="42">
                  <c:v>3.1276584486477051E-3</c:v>
                </c:pt>
                <c:pt idx="43">
                  <c:v>3.0907582840882203E-3</c:v>
                </c:pt>
                <c:pt idx="44">
                  <c:v>3.0690596904605592E-3</c:v>
                </c:pt>
                <c:pt idx="45">
                  <c:v>3.0658332980237793E-3</c:v>
                </c:pt>
                <c:pt idx="46">
                  <c:v>3.1216871866490601E-3</c:v>
                </c:pt>
                <c:pt idx="47">
                  <c:v>3.0828975432086671E-3</c:v>
                </c:pt>
                <c:pt idx="48">
                  <c:v>3.0589711677748658E-3</c:v>
                </c:pt>
                <c:pt idx="49">
                  <c:v>3.070246079005298E-3</c:v>
                </c:pt>
                <c:pt idx="50">
                  <c:v>3.1159477657638429E-3</c:v>
                </c:pt>
                <c:pt idx="51">
                  <c:v>3.1297960085794312E-3</c:v>
                </c:pt>
                <c:pt idx="52">
                  <c:v>3.0426929879467895E-3</c:v>
                </c:pt>
                <c:pt idx="53">
                  <c:v>3.0145057826302855E-3</c:v>
                </c:pt>
                <c:pt idx="54">
                  <c:v>3.0464931915048462E-3</c:v>
                </c:pt>
                <c:pt idx="55">
                  <c:v>3.5638557747006347E-3</c:v>
                </c:pt>
                <c:pt idx="56">
                  <c:v>3.7163821980356932E-3</c:v>
                </c:pt>
                <c:pt idx="57">
                  <c:v>3.5986698349006348E-3</c:v>
                </c:pt>
                <c:pt idx="58">
                  <c:v>3.5807171952910643E-3</c:v>
                </c:pt>
                <c:pt idx="59">
                  <c:v>3.5875280736945557E-3</c:v>
                </c:pt>
                <c:pt idx="60">
                  <c:v>3.5591212217695803E-3</c:v>
                </c:pt>
                <c:pt idx="61">
                  <c:v>3.6198265152052002E-3</c:v>
                </c:pt>
                <c:pt idx="62">
                  <c:v>3.5893127205781496E-3</c:v>
                </c:pt>
                <c:pt idx="63">
                  <c:v>3.6260435590520263E-3</c:v>
                </c:pt>
                <c:pt idx="64">
                  <c:v>3.6202906630933107E-3</c:v>
                </c:pt>
                <c:pt idx="65">
                  <c:v>3.5601267591118652E-3</c:v>
                </c:pt>
                <c:pt idx="66">
                  <c:v>4.6084892237558935E-3</c:v>
                </c:pt>
                <c:pt idx="67">
                  <c:v>4.5614702394232128E-3</c:v>
                </c:pt>
                <c:pt idx="68">
                  <c:v>4.5808467548340524E-3</c:v>
                </c:pt>
                <c:pt idx="69">
                  <c:v>4.4854198349639747E-3</c:v>
                </c:pt>
                <c:pt idx="70">
                  <c:v>4.5065212761983249E-3</c:v>
                </c:pt>
                <c:pt idx="71">
                  <c:v>4.5225484063848827E-3</c:v>
                </c:pt>
                <c:pt idx="72">
                  <c:v>4.7214444493874899E-3</c:v>
                </c:pt>
                <c:pt idx="73">
                  <c:v>4.6585184754803759E-3</c:v>
                </c:pt>
                <c:pt idx="74">
                  <c:v>4.5391957974061327E-3</c:v>
                </c:pt>
                <c:pt idx="75">
                  <c:v>4.4754910049960009E-3</c:v>
                </c:pt>
                <c:pt idx="76">
                  <c:v>4.389803041703999E-3</c:v>
                </c:pt>
                <c:pt idx="77">
                  <c:v>6.3770189881324707E-3</c:v>
                </c:pt>
                <c:pt idx="78">
                  <c:v>6.7095425911247652E-3</c:v>
                </c:pt>
                <c:pt idx="79">
                  <c:v>6.8452507257461522E-3</c:v>
                </c:pt>
                <c:pt idx="80">
                  <c:v>6.284682778641572E-3</c:v>
                </c:pt>
                <c:pt idx="81">
                  <c:v>6.791977444663643E-3</c:v>
                </c:pt>
                <c:pt idx="82">
                  <c:v>6.6243708133697458E-3</c:v>
                </c:pt>
                <c:pt idx="83">
                  <c:v>6.1706912238150783E-3</c:v>
                </c:pt>
                <c:pt idx="84">
                  <c:v>6.5052385907620114E-3</c:v>
                </c:pt>
                <c:pt idx="85">
                  <c:v>6.8590235896408497E-3</c:v>
                </c:pt>
                <c:pt idx="86">
                  <c:v>6.288766395300625E-3</c:v>
                </c:pt>
                <c:pt idx="87">
                  <c:v>6.4776556100696291E-3</c:v>
                </c:pt>
                <c:pt idx="88">
                  <c:v>6.5710667986422751E-3</c:v>
                </c:pt>
                <c:pt idx="89">
                  <c:v>6.4574319403618557E-3</c:v>
                </c:pt>
                <c:pt idx="90">
                  <c:v>6.5501257777213964E-3</c:v>
                </c:pt>
                <c:pt idx="91">
                  <c:v>6.1442344449460446E-3</c:v>
                </c:pt>
                <c:pt idx="92">
                  <c:v>6.4306256826966992E-3</c:v>
                </c:pt>
                <c:pt idx="93">
                  <c:v>6.5176067873835546E-3</c:v>
                </c:pt>
                <c:pt idx="94">
                  <c:v>6.5074393060058303E-3</c:v>
                </c:pt>
                <c:pt idx="95">
                  <c:v>6.5211181063204978E-3</c:v>
                </c:pt>
                <c:pt idx="96">
                  <c:v>6.2787039205431929E-3</c:v>
                </c:pt>
                <c:pt idx="97">
                  <c:v>6.4086203929036812E-3</c:v>
                </c:pt>
                <c:pt idx="98">
                  <c:v>6.141491932794443E-3</c:v>
                </c:pt>
                <c:pt idx="99">
                  <c:v>6.4463829621672561E-3</c:v>
                </c:pt>
                <c:pt idx="100">
                  <c:v>6.198761286213994E-3</c:v>
                </c:pt>
                <c:pt idx="101">
                  <c:v>6.3529270701110354E-3</c:v>
                </c:pt>
                <c:pt idx="102">
                  <c:v>6.2126023694872847E-3</c:v>
                </c:pt>
                <c:pt idx="103">
                  <c:v>6.515899207442998E-3</c:v>
                </c:pt>
                <c:pt idx="104">
                  <c:v>6.4877448603510839E-3</c:v>
                </c:pt>
                <c:pt idx="105">
                  <c:v>6.5945433452725393E-3</c:v>
                </c:pt>
                <c:pt idx="106">
                  <c:v>6.4589292742311911E-3</c:v>
                </c:pt>
                <c:pt idx="107">
                  <c:v>6.443499121814961E-3</c:v>
                </c:pt>
                <c:pt idx="108">
                  <c:v>6.254677660763262E-3</c:v>
                </c:pt>
                <c:pt idx="109">
                  <c:v>6.3300817273557125E-3</c:v>
                </c:pt>
                <c:pt idx="110">
                  <c:v>7.6072730589658005E-3</c:v>
                </c:pt>
                <c:pt idx="111">
                  <c:v>7.1577890776097757E-3</c:v>
                </c:pt>
                <c:pt idx="112">
                  <c:v>7.3434785008430472E-3</c:v>
                </c:pt>
                <c:pt idx="113">
                  <c:v>7.7144214883446676E-3</c:v>
                </c:pt>
                <c:pt idx="114">
                  <c:v>7.2550168260931934E-3</c:v>
                </c:pt>
                <c:pt idx="115">
                  <c:v>7.3708957061171488E-3</c:v>
                </c:pt>
                <c:pt idx="116">
                  <c:v>7.145951967686406E-3</c:v>
                </c:pt>
                <c:pt idx="117">
                  <c:v>8.2240703050047072E-3</c:v>
                </c:pt>
                <c:pt idx="118">
                  <c:v>7.439501816406846E-3</c:v>
                </c:pt>
                <c:pt idx="119">
                  <c:v>7.4181444942951168E-3</c:v>
                </c:pt>
                <c:pt idx="120">
                  <c:v>7.6029996853321773E-3</c:v>
                </c:pt>
                <c:pt idx="121">
                  <c:v>8.2342261448502541E-3</c:v>
                </c:pt>
                <c:pt idx="122">
                  <c:v>7.1810923982411623E-3</c:v>
                </c:pt>
                <c:pt idx="123">
                  <c:v>7.3715473990887403E-3</c:v>
                </c:pt>
                <c:pt idx="124">
                  <c:v>7.6149713713675685E-3</c:v>
                </c:pt>
                <c:pt idx="125">
                  <c:v>7.6105354819446776E-3</c:v>
                </c:pt>
                <c:pt idx="126">
                  <c:v>7.2979964315891214E-3</c:v>
                </c:pt>
                <c:pt idx="127">
                  <c:v>7.522442610934375E-3</c:v>
                </c:pt>
                <c:pt idx="128">
                  <c:v>7.1091060526668947E-3</c:v>
                </c:pt>
                <c:pt idx="129">
                  <c:v>7.0399160031229197E-3</c:v>
                </c:pt>
                <c:pt idx="130">
                  <c:v>7.3103974573314164E-3</c:v>
                </c:pt>
                <c:pt idx="131">
                  <c:v>7.4779514688998435E-3</c:v>
                </c:pt>
                <c:pt idx="132">
                  <c:v>7.2035891935229293E-3</c:v>
                </c:pt>
                <c:pt idx="133">
                  <c:v>7.4291289784014164E-3</c:v>
                </c:pt>
                <c:pt idx="134">
                  <c:v>7.1230556350201368E-3</c:v>
                </c:pt>
                <c:pt idx="135">
                  <c:v>7.3351184837520114E-3</c:v>
                </c:pt>
                <c:pt idx="136">
                  <c:v>7.4587056878954103E-3</c:v>
                </c:pt>
                <c:pt idx="137">
                  <c:v>7.1840332821011526E-3</c:v>
                </c:pt>
                <c:pt idx="138">
                  <c:v>6.8317833356559277E-3</c:v>
                </c:pt>
                <c:pt idx="139">
                  <c:v>7.3008728213608204E-3</c:v>
                </c:pt>
                <c:pt idx="140">
                  <c:v>7.0821831468492677E-3</c:v>
                </c:pt>
                <c:pt idx="141">
                  <c:v>7.0841121487319435E-3</c:v>
                </c:pt>
                <c:pt idx="142">
                  <c:v>8.0892480909824319E-3</c:v>
                </c:pt>
                <c:pt idx="143">
                  <c:v>6.5538012422621189E-3</c:v>
                </c:pt>
                <c:pt idx="144">
                  <c:v>6.7187503445893457E-3</c:v>
                </c:pt>
                <c:pt idx="145">
                  <c:v>6.806553341448301E-3</c:v>
                </c:pt>
                <c:pt idx="146">
                  <c:v>6.685086060315361E-3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4-477C-BD52-580A2D1A5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553776"/>
        <c:axId val="1516559600"/>
      </c:scatterChart>
      <c:valAx>
        <c:axId val="16999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Simulation Time per trial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6832"/>
        <c:crosses val="autoZero"/>
        <c:crossBetween val="midCat"/>
      </c:valAx>
      <c:valAx>
        <c:axId val="169999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Number of Quantum</a:t>
                </a:r>
                <a:r>
                  <a:rPr lang="en-US" altLang="zh-CN" sz="1200" baseline="0"/>
                  <a:t> Gates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86848"/>
        <c:crosses val="autoZero"/>
        <c:crossBetween val="midCat"/>
      </c:valAx>
      <c:valAx>
        <c:axId val="1516559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Real Time per trial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53776"/>
        <c:crosses val="max"/>
        <c:crossBetween val="midCat"/>
      </c:valAx>
      <c:valAx>
        <c:axId val="15165537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16559600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66425415011522"/>
          <c:y val="0.17997383586469301"/>
          <c:w val="0.19795221896016352"/>
          <c:h val="0.1483467289623447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Sim./Real Compute Time </a:t>
            </a:r>
            <a:r>
              <a:rPr lang="en-US" altLang="zh-CN" sz="1800"/>
              <a:t>vs. Total gates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dj_data!$H$1</c:f>
              <c:strCache>
                <c:ptCount val="1"/>
                <c:pt idx="0">
                  <c:v> sim_time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dj_data!$F$2:$F$148</c:f>
              <c:numCache>
                <c:formatCode>General</c:formatCode>
                <c:ptCount val="147"/>
                <c:pt idx="0">
                  <c:v>50</c:v>
                </c:pt>
                <c:pt idx="1">
                  <c:v>53</c:v>
                </c:pt>
                <c:pt idx="2">
                  <c:v>51</c:v>
                </c:pt>
                <c:pt idx="3">
                  <c:v>56</c:v>
                </c:pt>
                <c:pt idx="4">
                  <c:v>54</c:v>
                </c:pt>
                <c:pt idx="5">
                  <c:v>59</c:v>
                </c:pt>
                <c:pt idx="6">
                  <c:v>46</c:v>
                </c:pt>
                <c:pt idx="7">
                  <c:v>50</c:v>
                </c:pt>
                <c:pt idx="8">
                  <c:v>46</c:v>
                </c:pt>
                <c:pt idx="9">
                  <c:v>30</c:v>
                </c:pt>
                <c:pt idx="10">
                  <c:v>31</c:v>
                </c:pt>
                <c:pt idx="11">
                  <c:v>49</c:v>
                </c:pt>
                <c:pt idx="12">
                  <c:v>48</c:v>
                </c:pt>
                <c:pt idx="13">
                  <c:v>47</c:v>
                </c:pt>
                <c:pt idx="14">
                  <c:v>50</c:v>
                </c:pt>
                <c:pt idx="15">
                  <c:v>49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48</c:v>
                </c:pt>
                <c:pt idx="20">
                  <c:v>28</c:v>
                </c:pt>
                <c:pt idx="21">
                  <c:v>29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40</c:v>
                </c:pt>
                <c:pt idx="26">
                  <c:v>44</c:v>
                </c:pt>
                <c:pt idx="27">
                  <c:v>41</c:v>
                </c:pt>
                <c:pt idx="28">
                  <c:v>51</c:v>
                </c:pt>
                <c:pt idx="29">
                  <c:v>44</c:v>
                </c:pt>
                <c:pt idx="30">
                  <c:v>46</c:v>
                </c:pt>
                <c:pt idx="31">
                  <c:v>26</c:v>
                </c:pt>
                <c:pt idx="32">
                  <c:v>27</c:v>
                </c:pt>
                <c:pt idx="33">
                  <c:v>37</c:v>
                </c:pt>
                <c:pt idx="34">
                  <c:v>35</c:v>
                </c:pt>
                <c:pt idx="35">
                  <c:v>34</c:v>
                </c:pt>
                <c:pt idx="36">
                  <c:v>45</c:v>
                </c:pt>
                <c:pt idx="37">
                  <c:v>45</c:v>
                </c:pt>
                <c:pt idx="38">
                  <c:v>44</c:v>
                </c:pt>
                <c:pt idx="39">
                  <c:v>40</c:v>
                </c:pt>
                <c:pt idx="40">
                  <c:v>35</c:v>
                </c:pt>
                <c:pt idx="41">
                  <c:v>38</c:v>
                </c:pt>
                <c:pt idx="42">
                  <c:v>24</c:v>
                </c:pt>
                <c:pt idx="43">
                  <c:v>25</c:v>
                </c:pt>
                <c:pt idx="44">
                  <c:v>40</c:v>
                </c:pt>
                <c:pt idx="45">
                  <c:v>38</c:v>
                </c:pt>
                <c:pt idx="46">
                  <c:v>39</c:v>
                </c:pt>
                <c:pt idx="47">
                  <c:v>38</c:v>
                </c:pt>
                <c:pt idx="48">
                  <c:v>35</c:v>
                </c:pt>
                <c:pt idx="49">
                  <c:v>39</c:v>
                </c:pt>
                <c:pt idx="50">
                  <c:v>40</c:v>
                </c:pt>
                <c:pt idx="51">
                  <c:v>39</c:v>
                </c:pt>
                <c:pt idx="52">
                  <c:v>37</c:v>
                </c:pt>
                <c:pt idx="53">
                  <c:v>22</c:v>
                </c:pt>
                <c:pt idx="54">
                  <c:v>23</c:v>
                </c:pt>
                <c:pt idx="55">
                  <c:v>32</c:v>
                </c:pt>
                <c:pt idx="56">
                  <c:v>33</c:v>
                </c:pt>
                <c:pt idx="57">
                  <c:v>32</c:v>
                </c:pt>
                <c:pt idx="58">
                  <c:v>34</c:v>
                </c:pt>
                <c:pt idx="59">
                  <c:v>34</c:v>
                </c:pt>
                <c:pt idx="60">
                  <c:v>35</c:v>
                </c:pt>
                <c:pt idx="61">
                  <c:v>37</c:v>
                </c:pt>
                <c:pt idx="62">
                  <c:v>34</c:v>
                </c:pt>
                <c:pt idx="63">
                  <c:v>36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32</c:v>
                </c:pt>
                <c:pt idx="70">
                  <c:v>32</c:v>
                </c:pt>
                <c:pt idx="71">
                  <c:v>31</c:v>
                </c:pt>
                <c:pt idx="72">
                  <c:v>30</c:v>
                </c:pt>
                <c:pt idx="73">
                  <c:v>29</c:v>
                </c:pt>
                <c:pt idx="74">
                  <c:v>28</c:v>
                </c:pt>
                <c:pt idx="75">
                  <c:v>18</c:v>
                </c:pt>
                <c:pt idx="76">
                  <c:v>19</c:v>
                </c:pt>
                <c:pt idx="77">
                  <c:v>27</c:v>
                </c:pt>
                <c:pt idx="78">
                  <c:v>30</c:v>
                </c:pt>
                <c:pt idx="79">
                  <c:v>26</c:v>
                </c:pt>
                <c:pt idx="80">
                  <c:v>28</c:v>
                </c:pt>
                <c:pt idx="81">
                  <c:v>30</c:v>
                </c:pt>
                <c:pt idx="82">
                  <c:v>33</c:v>
                </c:pt>
                <c:pt idx="83">
                  <c:v>25</c:v>
                </c:pt>
                <c:pt idx="84">
                  <c:v>27</c:v>
                </c:pt>
                <c:pt idx="85">
                  <c:v>24</c:v>
                </c:pt>
                <c:pt idx="86">
                  <c:v>16</c:v>
                </c:pt>
                <c:pt idx="87">
                  <c:v>17</c:v>
                </c:pt>
                <c:pt idx="88">
                  <c:v>27</c:v>
                </c:pt>
                <c:pt idx="89">
                  <c:v>26</c:v>
                </c:pt>
                <c:pt idx="90">
                  <c:v>25</c:v>
                </c:pt>
                <c:pt idx="91">
                  <c:v>25</c:v>
                </c:pt>
                <c:pt idx="92">
                  <c:v>23</c:v>
                </c:pt>
                <c:pt idx="93">
                  <c:v>22</c:v>
                </c:pt>
                <c:pt idx="94">
                  <c:v>20</c:v>
                </c:pt>
                <c:pt idx="95">
                  <c:v>22</c:v>
                </c:pt>
                <c:pt idx="96">
                  <c:v>22</c:v>
                </c:pt>
                <c:pt idx="97">
                  <c:v>14</c:v>
                </c:pt>
                <c:pt idx="98">
                  <c:v>15</c:v>
                </c:pt>
                <c:pt idx="99">
                  <c:v>24</c:v>
                </c:pt>
                <c:pt idx="100">
                  <c:v>22</c:v>
                </c:pt>
                <c:pt idx="101">
                  <c:v>24</c:v>
                </c:pt>
                <c:pt idx="102">
                  <c:v>21</c:v>
                </c:pt>
                <c:pt idx="103">
                  <c:v>25</c:v>
                </c:pt>
                <c:pt idx="104">
                  <c:v>22</c:v>
                </c:pt>
                <c:pt idx="105">
                  <c:v>22</c:v>
                </c:pt>
                <c:pt idx="106">
                  <c:v>21</c:v>
                </c:pt>
                <c:pt idx="107">
                  <c:v>22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13</c:v>
                </c:pt>
                <c:pt idx="112">
                  <c:v>13</c:v>
                </c:pt>
                <c:pt idx="113">
                  <c:v>19</c:v>
                </c:pt>
                <c:pt idx="114">
                  <c:v>21</c:v>
                </c:pt>
                <c:pt idx="115">
                  <c:v>21</c:v>
                </c:pt>
                <c:pt idx="116">
                  <c:v>15</c:v>
                </c:pt>
                <c:pt idx="117">
                  <c:v>15</c:v>
                </c:pt>
                <c:pt idx="118">
                  <c:v>17</c:v>
                </c:pt>
                <c:pt idx="119">
                  <c:v>10</c:v>
                </c:pt>
                <c:pt idx="120">
                  <c:v>11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12</c:v>
                </c:pt>
                <c:pt idx="126">
                  <c:v>11</c:v>
                </c:pt>
                <c:pt idx="127">
                  <c:v>15</c:v>
                </c:pt>
                <c:pt idx="128">
                  <c:v>13</c:v>
                </c:pt>
                <c:pt idx="129">
                  <c:v>13</c:v>
                </c:pt>
                <c:pt idx="130">
                  <c:v>8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6</c:v>
                </c:pt>
                <c:pt idx="142">
                  <c:v>7</c:v>
                </c:pt>
                <c:pt idx="143">
                  <c:v>7</c:v>
                </c:pt>
                <c:pt idx="144">
                  <c:v>5</c:v>
                </c:pt>
                <c:pt idx="145">
                  <c:v>4</c:v>
                </c:pt>
                <c:pt idx="146">
                  <c:v>5</c:v>
                </c:pt>
              </c:numCache>
            </c:numRef>
          </c:xVal>
          <c:yVal>
            <c:numRef>
              <c:f>dj_data!$H$2:$H$148</c:f>
              <c:numCache>
                <c:formatCode>0.0000</c:formatCode>
                <c:ptCount val="147"/>
                <c:pt idx="0">
                  <c:v>3.4868717193603498E-3</c:v>
                </c:pt>
                <c:pt idx="1">
                  <c:v>3.4060478210449201E-3</c:v>
                </c:pt>
                <c:pt idx="2">
                  <c:v>3.2849311828613199E-3</c:v>
                </c:pt>
                <c:pt idx="3">
                  <c:v>4.5568943023681597E-3</c:v>
                </c:pt>
                <c:pt idx="4">
                  <c:v>4.3060779571533203E-3</c:v>
                </c:pt>
                <c:pt idx="5">
                  <c:v>4.0936470031738203E-3</c:v>
                </c:pt>
                <c:pt idx="6">
                  <c:v>3.7262439727783199E-3</c:v>
                </c:pt>
                <c:pt idx="7">
                  <c:v>3.43918800354003E-3</c:v>
                </c:pt>
                <c:pt idx="8">
                  <c:v>3.9825439453125E-3</c:v>
                </c:pt>
                <c:pt idx="9">
                  <c:v>3.1812191009521402E-3</c:v>
                </c:pt>
                <c:pt idx="10">
                  <c:v>3.1132698059082001E-3</c:v>
                </c:pt>
                <c:pt idx="11">
                  <c:v>3.1197071075439401E-3</c:v>
                </c:pt>
                <c:pt idx="12">
                  <c:v>4.0650367736816398E-3</c:v>
                </c:pt>
                <c:pt idx="13">
                  <c:v>3.90219688415527E-3</c:v>
                </c:pt>
                <c:pt idx="14">
                  <c:v>3.7899017333984301E-3</c:v>
                </c:pt>
                <c:pt idx="15">
                  <c:v>3.64518165588378E-3</c:v>
                </c:pt>
                <c:pt idx="16">
                  <c:v>3.7531852722167899E-3</c:v>
                </c:pt>
                <c:pt idx="17">
                  <c:v>3.2849311828613199E-3</c:v>
                </c:pt>
                <c:pt idx="18">
                  <c:v>3.7300586700439401E-3</c:v>
                </c:pt>
                <c:pt idx="19">
                  <c:v>4.1415691375732396E-3</c:v>
                </c:pt>
                <c:pt idx="20">
                  <c:v>3.7109851837158199E-3</c:v>
                </c:pt>
                <c:pt idx="21">
                  <c:v>2.6819705963134701E-3</c:v>
                </c:pt>
                <c:pt idx="22">
                  <c:v>2.4137496948242101E-3</c:v>
                </c:pt>
                <c:pt idx="23">
                  <c:v>3.9172172546386701E-3</c:v>
                </c:pt>
                <c:pt idx="24">
                  <c:v>3.42559814453125E-3</c:v>
                </c:pt>
                <c:pt idx="25">
                  <c:v>3.4503936767578099E-3</c:v>
                </c:pt>
                <c:pt idx="26">
                  <c:v>3.3929347991943299E-3</c:v>
                </c:pt>
                <c:pt idx="27">
                  <c:v>3.51309776306152E-3</c:v>
                </c:pt>
                <c:pt idx="28">
                  <c:v>3.00431251525878E-3</c:v>
                </c:pt>
                <c:pt idx="29">
                  <c:v>4.1737556457519497E-3</c:v>
                </c:pt>
                <c:pt idx="30">
                  <c:v>3.4892559051513598E-3</c:v>
                </c:pt>
                <c:pt idx="31">
                  <c:v>2.1393299102783199E-3</c:v>
                </c:pt>
                <c:pt idx="32">
                  <c:v>2.1812915802001901E-3</c:v>
                </c:pt>
                <c:pt idx="33">
                  <c:v>2.6412010192870998E-3</c:v>
                </c:pt>
                <c:pt idx="34">
                  <c:v>2.4409294128417899E-3</c:v>
                </c:pt>
                <c:pt idx="35">
                  <c:v>2.3989677429199201E-3</c:v>
                </c:pt>
                <c:pt idx="36">
                  <c:v>3.4959316253662101E-3</c:v>
                </c:pt>
                <c:pt idx="37">
                  <c:v>3.6382675170898398E-3</c:v>
                </c:pt>
                <c:pt idx="38">
                  <c:v>4.1670799255370998E-3</c:v>
                </c:pt>
                <c:pt idx="39">
                  <c:v>4.2970180511474601E-3</c:v>
                </c:pt>
                <c:pt idx="40">
                  <c:v>2.8386116027832001E-3</c:v>
                </c:pt>
                <c:pt idx="41">
                  <c:v>3.4415721893310499E-3</c:v>
                </c:pt>
                <c:pt idx="42">
                  <c:v>3.65447998046875E-3</c:v>
                </c:pt>
                <c:pt idx="43">
                  <c:v>2.2430419921875E-3</c:v>
                </c:pt>
                <c:pt idx="44">
                  <c:v>2.5651454925537101E-3</c:v>
                </c:pt>
                <c:pt idx="45">
                  <c:v>2.50768661499023E-3</c:v>
                </c:pt>
                <c:pt idx="46">
                  <c:v>2.7208328247070299E-3</c:v>
                </c:pt>
                <c:pt idx="47">
                  <c:v>2.427339553833E-3</c:v>
                </c:pt>
                <c:pt idx="48">
                  <c:v>2.7782917022705E-3</c:v>
                </c:pt>
                <c:pt idx="49">
                  <c:v>2.5005340576171801E-3</c:v>
                </c:pt>
                <c:pt idx="50">
                  <c:v>3.5660266876220699E-3</c:v>
                </c:pt>
                <c:pt idx="51">
                  <c:v>2.4790763854980399E-3</c:v>
                </c:pt>
                <c:pt idx="52">
                  <c:v>2.34818458557128E-3</c:v>
                </c:pt>
                <c:pt idx="53">
                  <c:v>1.94907188415527E-3</c:v>
                </c:pt>
                <c:pt idx="54">
                  <c:v>2.5880336761474601E-3</c:v>
                </c:pt>
                <c:pt idx="55">
                  <c:v>2.4306774139404201E-3</c:v>
                </c:pt>
                <c:pt idx="56">
                  <c:v>3.2136440277099601E-3</c:v>
                </c:pt>
                <c:pt idx="57">
                  <c:v>2.9914379119872999E-3</c:v>
                </c:pt>
                <c:pt idx="58">
                  <c:v>2.4545192718505799E-3</c:v>
                </c:pt>
                <c:pt idx="59">
                  <c:v>2.4676322937011701E-3</c:v>
                </c:pt>
                <c:pt idx="60">
                  <c:v>2.3844242095947201E-3</c:v>
                </c:pt>
                <c:pt idx="61">
                  <c:v>2.6426315307617101E-3</c:v>
                </c:pt>
                <c:pt idx="62">
                  <c:v>2.4266242980957001E-3</c:v>
                </c:pt>
                <c:pt idx="63">
                  <c:v>2.4352073669433498E-3</c:v>
                </c:pt>
                <c:pt idx="64">
                  <c:v>3.5495758056640599E-3</c:v>
                </c:pt>
                <c:pt idx="65">
                  <c:v>1.8706321716308501E-3</c:v>
                </c:pt>
                <c:pt idx="66">
                  <c:v>1.97362899780273E-3</c:v>
                </c:pt>
                <c:pt idx="67">
                  <c:v>1.8646717071533201E-3</c:v>
                </c:pt>
                <c:pt idx="68">
                  <c:v>2.0198822021484301E-3</c:v>
                </c:pt>
                <c:pt idx="69">
                  <c:v>2.1388530731201098E-3</c:v>
                </c:pt>
                <c:pt idx="70">
                  <c:v>2.2003650665283199E-3</c:v>
                </c:pt>
                <c:pt idx="71">
                  <c:v>2.21014022827148E-3</c:v>
                </c:pt>
                <c:pt idx="72">
                  <c:v>2.5961399078369102E-3</c:v>
                </c:pt>
                <c:pt idx="73">
                  <c:v>2.12335586547851E-3</c:v>
                </c:pt>
                <c:pt idx="74">
                  <c:v>2.1820068359375E-3</c:v>
                </c:pt>
                <c:pt idx="75">
                  <c:v>1.79314613342285E-3</c:v>
                </c:pt>
                <c:pt idx="76">
                  <c:v>1.7874240875244099E-3</c:v>
                </c:pt>
                <c:pt idx="77">
                  <c:v>2.3846626281738199E-3</c:v>
                </c:pt>
                <c:pt idx="78">
                  <c:v>2.1102428436279201E-3</c:v>
                </c:pt>
                <c:pt idx="79">
                  <c:v>1.9848346710205E-3</c:v>
                </c:pt>
                <c:pt idx="80">
                  <c:v>2.0287036895751901E-3</c:v>
                </c:pt>
                <c:pt idx="81">
                  <c:v>2.1395683288574201E-3</c:v>
                </c:pt>
                <c:pt idx="82">
                  <c:v>2.2246837615966701E-3</c:v>
                </c:pt>
                <c:pt idx="83">
                  <c:v>2.0644664764404201E-3</c:v>
                </c:pt>
                <c:pt idx="84">
                  <c:v>2.28118896484375E-3</c:v>
                </c:pt>
                <c:pt idx="85">
                  <c:v>2.01940536499023E-3</c:v>
                </c:pt>
                <c:pt idx="86">
                  <c:v>1.65152549743652E-3</c:v>
                </c:pt>
                <c:pt idx="87">
                  <c:v>1.6322135925292899E-3</c:v>
                </c:pt>
                <c:pt idx="88">
                  <c:v>3.43561172485351E-3</c:v>
                </c:pt>
                <c:pt idx="89">
                  <c:v>1.9686222076415998E-3</c:v>
                </c:pt>
                <c:pt idx="90">
                  <c:v>2.2027492523193299E-3</c:v>
                </c:pt>
                <c:pt idx="91">
                  <c:v>2.1905899047851502E-3</c:v>
                </c:pt>
                <c:pt idx="92">
                  <c:v>2.1038055419921801E-3</c:v>
                </c:pt>
                <c:pt idx="93">
                  <c:v>2.0453929901122999E-3</c:v>
                </c:pt>
                <c:pt idx="94">
                  <c:v>1.7261505126953099E-3</c:v>
                </c:pt>
                <c:pt idx="95">
                  <c:v>1.9536018371582001E-3</c:v>
                </c:pt>
                <c:pt idx="96">
                  <c:v>2.1059513092040998E-3</c:v>
                </c:pt>
                <c:pt idx="97">
                  <c:v>1.6102790832519501E-3</c:v>
                </c:pt>
                <c:pt idx="98">
                  <c:v>1.5583038330078099E-3</c:v>
                </c:pt>
                <c:pt idx="99">
                  <c:v>1.8568038940429601E-3</c:v>
                </c:pt>
                <c:pt idx="100">
                  <c:v>1.9230842590332001E-3</c:v>
                </c:pt>
                <c:pt idx="101">
                  <c:v>1.8932819366455E-3</c:v>
                </c:pt>
                <c:pt idx="102">
                  <c:v>1.71899795532226E-3</c:v>
                </c:pt>
                <c:pt idx="103">
                  <c:v>1.94430351257324E-3</c:v>
                </c:pt>
                <c:pt idx="104">
                  <c:v>1.7652511596679601E-3</c:v>
                </c:pt>
                <c:pt idx="105">
                  <c:v>1.85513496398925E-3</c:v>
                </c:pt>
                <c:pt idx="106">
                  <c:v>1.86896324157714E-3</c:v>
                </c:pt>
                <c:pt idx="107">
                  <c:v>1.8851757049560499E-3</c:v>
                </c:pt>
                <c:pt idx="108">
                  <c:v>1.4333724975585901E-3</c:v>
                </c:pt>
                <c:pt idx="109">
                  <c:v>1.45459175109863E-3</c:v>
                </c:pt>
                <c:pt idx="110">
                  <c:v>1.6131401062011699E-3</c:v>
                </c:pt>
                <c:pt idx="111">
                  <c:v>1.45459175109863E-3</c:v>
                </c:pt>
                <c:pt idx="112">
                  <c:v>1.63531303405761E-3</c:v>
                </c:pt>
                <c:pt idx="113">
                  <c:v>1.5978813171386699E-3</c:v>
                </c:pt>
                <c:pt idx="114">
                  <c:v>1.72948837280273E-3</c:v>
                </c:pt>
                <c:pt idx="115">
                  <c:v>1.6653537750244099E-3</c:v>
                </c:pt>
                <c:pt idx="116">
                  <c:v>1.53875350952148E-3</c:v>
                </c:pt>
                <c:pt idx="117">
                  <c:v>1.5518665313720701E-3</c:v>
                </c:pt>
                <c:pt idx="118">
                  <c:v>1.5647411346435499E-3</c:v>
                </c:pt>
                <c:pt idx="119">
                  <c:v>1.4295578002929601E-3</c:v>
                </c:pt>
                <c:pt idx="120">
                  <c:v>1.4262199401855399E-3</c:v>
                </c:pt>
                <c:pt idx="121">
                  <c:v>1.7056465148925701E-3</c:v>
                </c:pt>
                <c:pt idx="122">
                  <c:v>1.4033317565917899E-3</c:v>
                </c:pt>
                <c:pt idx="123">
                  <c:v>1.4612674713134701E-3</c:v>
                </c:pt>
                <c:pt idx="124">
                  <c:v>1.3544559478759701E-3</c:v>
                </c:pt>
                <c:pt idx="125">
                  <c:v>1.4007091522216699E-3</c:v>
                </c:pt>
                <c:pt idx="126">
                  <c:v>1.4231204986572201E-3</c:v>
                </c:pt>
                <c:pt idx="127">
                  <c:v>1.5759468078613201E-3</c:v>
                </c:pt>
                <c:pt idx="128">
                  <c:v>1.36041641235351E-3</c:v>
                </c:pt>
                <c:pt idx="129">
                  <c:v>1.8889904022216699E-3</c:v>
                </c:pt>
                <c:pt idx="130">
                  <c:v>1.21545791625976E-3</c:v>
                </c:pt>
                <c:pt idx="131">
                  <c:v>1.2772083282470701E-3</c:v>
                </c:pt>
                <c:pt idx="132">
                  <c:v>1.30844116210937E-3</c:v>
                </c:pt>
                <c:pt idx="133">
                  <c:v>1.2531280517578099E-3</c:v>
                </c:pt>
                <c:pt idx="134">
                  <c:v>1.28769874572753E-3</c:v>
                </c:pt>
                <c:pt idx="135">
                  <c:v>1.328706741333E-3</c:v>
                </c:pt>
                <c:pt idx="136">
                  <c:v>1.4195442199707001E-3</c:v>
                </c:pt>
                <c:pt idx="137">
                  <c:v>1.2373924255371001E-3</c:v>
                </c:pt>
                <c:pt idx="138">
                  <c:v>1.37829780578613E-3</c:v>
                </c:pt>
                <c:pt idx="139">
                  <c:v>1.30987167358398E-3</c:v>
                </c:pt>
                <c:pt idx="140">
                  <c:v>1.3344287872314401E-3</c:v>
                </c:pt>
                <c:pt idx="141">
                  <c:v>1.11889839172363E-3</c:v>
                </c:pt>
                <c:pt idx="142">
                  <c:v>1.13439559936523E-3</c:v>
                </c:pt>
                <c:pt idx="143">
                  <c:v>1.4386177062988201E-3</c:v>
                </c:pt>
                <c:pt idx="144">
                  <c:v>1.0776519775390599E-3</c:v>
                </c:pt>
                <c:pt idx="145">
                  <c:v>1.0483264923095701E-3</c:v>
                </c:pt>
                <c:pt idx="146">
                  <c:v>1.04022026062011E-3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B-448A-A8D2-155E36A4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996832"/>
        <c:axId val="1699986848"/>
      </c:scatterChart>
      <c:scatterChart>
        <c:scatterStyle val="lineMarker"/>
        <c:varyColors val="0"/>
        <c:ser>
          <c:idx val="0"/>
          <c:order val="0"/>
          <c:tx>
            <c:strRef>
              <c:f>dj_data!$G$1</c:f>
              <c:strCache>
                <c:ptCount val="1"/>
                <c:pt idx="0">
                  <c:v> real_time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dj_data!$F$2:$F$148</c:f>
              <c:numCache>
                <c:formatCode>General</c:formatCode>
                <c:ptCount val="147"/>
                <c:pt idx="0">
                  <c:v>50</c:v>
                </c:pt>
                <c:pt idx="1">
                  <c:v>53</c:v>
                </c:pt>
                <c:pt idx="2">
                  <c:v>51</c:v>
                </c:pt>
                <c:pt idx="3">
                  <c:v>56</c:v>
                </c:pt>
                <c:pt idx="4">
                  <c:v>54</c:v>
                </c:pt>
                <c:pt idx="5">
                  <c:v>59</c:v>
                </c:pt>
                <c:pt idx="6">
                  <c:v>46</c:v>
                </c:pt>
                <c:pt idx="7">
                  <c:v>50</c:v>
                </c:pt>
                <c:pt idx="8">
                  <c:v>46</c:v>
                </c:pt>
                <c:pt idx="9">
                  <c:v>30</c:v>
                </c:pt>
                <c:pt idx="10">
                  <c:v>31</c:v>
                </c:pt>
                <c:pt idx="11">
                  <c:v>49</c:v>
                </c:pt>
                <c:pt idx="12">
                  <c:v>48</c:v>
                </c:pt>
                <c:pt idx="13">
                  <c:v>47</c:v>
                </c:pt>
                <c:pt idx="14">
                  <c:v>50</c:v>
                </c:pt>
                <c:pt idx="15">
                  <c:v>49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48</c:v>
                </c:pt>
                <c:pt idx="20">
                  <c:v>28</c:v>
                </c:pt>
                <c:pt idx="21">
                  <c:v>29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40</c:v>
                </c:pt>
                <c:pt idx="26">
                  <c:v>44</c:v>
                </c:pt>
                <c:pt idx="27">
                  <c:v>41</c:v>
                </c:pt>
                <c:pt idx="28">
                  <c:v>51</c:v>
                </c:pt>
                <c:pt idx="29">
                  <c:v>44</c:v>
                </c:pt>
                <c:pt idx="30">
                  <c:v>46</c:v>
                </c:pt>
                <c:pt idx="31">
                  <c:v>26</c:v>
                </c:pt>
                <c:pt idx="32">
                  <c:v>27</c:v>
                </c:pt>
                <c:pt idx="33">
                  <c:v>37</c:v>
                </c:pt>
                <c:pt idx="34">
                  <c:v>35</c:v>
                </c:pt>
                <c:pt idx="35">
                  <c:v>34</c:v>
                </c:pt>
                <c:pt idx="36">
                  <c:v>45</c:v>
                </c:pt>
                <c:pt idx="37">
                  <c:v>45</c:v>
                </c:pt>
                <c:pt idx="38">
                  <c:v>44</c:v>
                </c:pt>
                <c:pt idx="39">
                  <c:v>40</c:v>
                </c:pt>
                <c:pt idx="40">
                  <c:v>35</c:v>
                </c:pt>
                <c:pt idx="41">
                  <c:v>38</c:v>
                </c:pt>
                <c:pt idx="42">
                  <c:v>24</c:v>
                </c:pt>
                <c:pt idx="43">
                  <c:v>25</c:v>
                </c:pt>
                <c:pt idx="44">
                  <c:v>40</c:v>
                </c:pt>
                <c:pt idx="45">
                  <c:v>38</c:v>
                </c:pt>
                <c:pt idx="46">
                  <c:v>39</c:v>
                </c:pt>
                <c:pt idx="47">
                  <c:v>38</c:v>
                </c:pt>
                <c:pt idx="48">
                  <c:v>35</c:v>
                </c:pt>
                <c:pt idx="49">
                  <c:v>39</c:v>
                </c:pt>
                <c:pt idx="50">
                  <c:v>40</c:v>
                </c:pt>
                <c:pt idx="51">
                  <c:v>39</c:v>
                </c:pt>
                <c:pt idx="52">
                  <c:v>37</c:v>
                </c:pt>
                <c:pt idx="53">
                  <c:v>22</c:v>
                </c:pt>
                <c:pt idx="54">
                  <c:v>23</c:v>
                </c:pt>
                <c:pt idx="55">
                  <c:v>32</c:v>
                </c:pt>
                <c:pt idx="56">
                  <c:v>33</c:v>
                </c:pt>
                <c:pt idx="57">
                  <c:v>32</c:v>
                </c:pt>
                <c:pt idx="58">
                  <c:v>34</c:v>
                </c:pt>
                <c:pt idx="59">
                  <c:v>34</c:v>
                </c:pt>
                <c:pt idx="60">
                  <c:v>35</c:v>
                </c:pt>
                <c:pt idx="61">
                  <c:v>37</c:v>
                </c:pt>
                <c:pt idx="62">
                  <c:v>34</c:v>
                </c:pt>
                <c:pt idx="63">
                  <c:v>36</c:v>
                </c:pt>
                <c:pt idx="64">
                  <c:v>20</c:v>
                </c:pt>
                <c:pt idx="65">
                  <c:v>21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32</c:v>
                </c:pt>
                <c:pt idx="70">
                  <c:v>32</c:v>
                </c:pt>
                <c:pt idx="71">
                  <c:v>31</c:v>
                </c:pt>
                <c:pt idx="72">
                  <c:v>30</c:v>
                </c:pt>
                <c:pt idx="73">
                  <c:v>29</c:v>
                </c:pt>
                <c:pt idx="74">
                  <c:v>28</c:v>
                </c:pt>
                <c:pt idx="75">
                  <c:v>18</c:v>
                </c:pt>
                <c:pt idx="76">
                  <c:v>19</c:v>
                </c:pt>
                <c:pt idx="77">
                  <c:v>27</c:v>
                </c:pt>
                <c:pt idx="78">
                  <c:v>30</c:v>
                </c:pt>
                <c:pt idx="79">
                  <c:v>26</c:v>
                </c:pt>
                <c:pt idx="80">
                  <c:v>28</c:v>
                </c:pt>
                <c:pt idx="81">
                  <c:v>30</c:v>
                </c:pt>
                <c:pt idx="82">
                  <c:v>33</c:v>
                </c:pt>
                <c:pt idx="83">
                  <c:v>25</c:v>
                </c:pt>
                <c:pt idx="84">
                  <c:v>27</c:v>
                </c:pt>
                <c:pt idx="85">
                  <c:v>24</c:v>
                </c:pt>
                <c:pt idx="86">
                  <c:v>16</c:v>
                </c:pt>
                <c:pt idx="87">
                  <c:v>17</c:v>
                </c:pt>
                <c:pt idx="88">
                  <c:v>27</c:v>
                </c:pt>
                <c:pt idx="89">
                  <c:v>26</c:v>
                </c:pt>
                <c:pt idx="90">
                  <c:v>25</c:v>
                </c:pt>
                <c:pt idx="91">
                  <c:v>25</c:v>
                </c:pt>
                <c:pt idx="92">
                  <c:v>23</c:v>
                </c:pt>
                <c:pt idx="93">
                  <c:v>22</c:v>
                </c:pt>
                <c:pt idx="94">
                  <c:v>20</c:v>
                </c:pt>
                <c:pt idx="95">
                  <c:v>22</c:v>
                </c:pt>
                <c:pt idx="96">
                  <c:v>22</c:v>
                </c:pt>
                <c:pt idx="97">
                  <c:v>14</c:v>
                </c:pt>
                <c:pt idx="98">
                  <c:v>15</c:v>
                </c:pt>
                <c:pt idx="99">
                  <c:v>24</c:v>
                </c:pt>
                <c:pt idx="100">
                  <c:v>22</c:v>
                </c:pt>
                <c:pt idx="101">
                  <c:v>24</c:v>
                </c:pt>
                <c:pt idx="102">
                  <c:v>21</c:v>
                </c:pt>
                <c:pt idx="103">
                  <c:v>25</c:v>
                </c:pt>
                <c:pt idx="104">
                  <c:v>22</c:v>
                </c:pt>
                <c:pt idx="105">
                  <c:v>22</c:v>
                </c:pt>
                <c:pt idx="106">
                  <c:v>21</c:v>
                </c:pt>
                <c:pt idx="107">
                  <c:v>22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13</c:v>
                </c:pt>
                <c:pt idx="112">
                  <c:v>13</c:v>
                </c:pt>
                <c:pt idx="113">
                  <c:v>19</c:v>
                </c:pt>
                <c:pt idx="114">
                  <c:v>21</c:v>
                </c:pt>
                <c:pt idx="115">
                  <c:v>21</c:v>
                </c:pt>
                <c:pt idx="116">
                  <c:v>15</c:v>
                </c:pt>
                <c:pt idx="117">
                  <c:v>15</c:v>
                </c:pt>
                <c:pt idx="118">
                  <c:v>17</c:v>
                </c:pt>
                <c:pt idx="119">
                  <c:v>10</c:v>
                </c:pt>
                <c:pt idx="120">
                  <c:v>11</c:v>
                </c:pt>
                <c:pt idx="121">
                  <c:v>14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12</c:v>
                </c:pt>
                <c:pt idx="126">
                  <c:v>11</c:v>
                </c:pt>
                <c:pt idx="127">
                  <c:v>15</c:v>
                </c:pt>
                <c:pt idx="128">
                  <c:v>13</c:v>
                </c:pt>
                <c:pt idx="129">
                  <c:v>13</c:v>
                </c:pt>
                <c:pt idx="130">
                  <c:v>8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7</c:v>
                </c:pt>
                <c:pt idx="136">
                  <c:v>8</c:v>
                </c:pt>
                <c:pt idx="137">
                  <c:v>7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6</c:v>
                </c:pt>
                <c:pt idx="142">
                  <c:v>7</c:v>
                </c:pt>
                <c:pt idx="143">
                  <c:v>7</c:v>
                </c:pt>
                <c:pt idx="144">
                  <c:v>5</c:v>
                </c:pt>
                <c:pt idx="145">
                  <c:v>4</c:v>
                </c:pt>
                <c:pt idx="146">
                  <c:v>5</c:v>
                </c:pt>
              </c:numCache>
            </c:numRef>
          </c:xVal>
          <c:yVal>
            <c:numRef>
              <c:f>dj_data!$G$2:$G$148</c:f>
              <c:numCache>
                <c:formatCode>General</c:formatCode>
                <c:ptCount val="147"/>
                <c:pt idx="0">
                  <c:v>29.198802947998001</c:v>
                </c:pt>
                <c:pt idx="1">
                  <c:v>27.444428205490102</c:v>
                </c:pt>
                <c:pt idx="2">
                  <c:v>28.864775657653801</c:v>
                </c:pt>
                <c:pt idx="3">
                  <c:v>29.811679840087798</c:v>
                </c:pt>
                <c:pt idx="4">
                  <c:v>27.141618728637599</c:v>
                </c:pt>
                <c:pt idx="5">
                  <c:v>29.640186548233</c:v>
                </c:pt>
                <c:pt idx="6">
                  <c:v>28.408259630203201</c:v>
                </c:pt>
                <c:pt idx="7">
                  <c:v>32.304448366165097</c:v>
                </c:pt>
                <c:pt idx="8">
                  <c:v>30.011257410049399</c:v>
                </c:pt>
                <c:pt idx="9">
                  <c:v>30.063098430633499</c:v>
                </c:pt>
                <c:pt idx="10">
                  <c:v>30.639732599258402</c:v>
                </c:pt>
                <c:pt idx="11">
                  <c:v>26.4434444904327</c:v>
                </c:pt>
                <c:pt idx="12">
                  <c:v>27.7513797283172</c:v>
                </c:pt>
                <c:pt idx="13">
                  <c:v>27.870194911956698</c:v>
                </c:pt>
                <c:pt idx="14">
                  <c:v>29.445108890533401</c:v>
                </c:pt>
                <c:pt idx="15">
                  <c:v>27.334182262420601</c:v>
                </c:pt>
                <c:pt idx="16">
                  <c:v>27.860572576522799</c:v>
                </c:pt>
                <c:pt idx="17">
                  <c:v>27.569222927093499</c:v>
                </c:pt>
                <c:pt idx="18">
                  <c:v>28.491176128387401</c:v>
                </c:pt>
                <c:pt idx="19">
                  <c:v>27.282207965850802</c:v>
                </c:pt>
                <c:pt idx="20">
                  <c:v>26.346103668212798</c:v>
                </c:pt>
                <c:pt idx="21">
                  <c:v>28.427225828170702</c:v>
                </c:pt>
                <c:pt idx="22">
                  <c:v>26.791011810302699</c:v>
                </c:pt>
                <c:pt idx="23">
                  <c:v>26.542402267456001</c:v>
                </c:pt>
                <c:pt idx="24">
                  <c:v>27.3386130332946</c:v>
                </c:pt>
                <c:pt idx="25">
                  <c:v>25.7848477363586</c:v>
                </c:pt>
                <c:pt idx="26">
                  <c:v>26.329100608825598</c:v>
                </c:pt>
                <c:pt idx="27">
                  <c:v>26.380429267883301</c:v>
                </c:pt>
                <c:pt idx="28">
                  <c:v>28.5012335777282</c:v>
                </c:pt>
                <c:pt idx="29">
                  <c:v>26.333423137664699</c:v>
                </c:pt>
                <c:pt idx="30">
                  <c:v>26.724931478500299</c:v>
                </c:pt>
                <c:pt idx="31">
                  <c:v>25.685746908187799</c:v>
                </c:pt>
                <c:pt idx="32">
                  <c:v>27.185511112213099</c:v>
                </c:pt>
                <c:pt idx="33">
                  <c:v>25.711834669113099</c:v>
                </c:pt>
                <c:pt idx="34">
                  <c:v>25.611461877822801</c:v>
                </c:pt>
                <c:pt idx="35">
                  <c:v>25.5756816864013</c:v>
                </c:pt>
                <c:pt idx="36">
                  <c:v>25.543077230453399</c:v>
                </c:pt>
                <c:pt idx="37">
                  <c:v>26.1584725379943</c:v>
                </c:pt>
                <c:pt idx="38">
                  <c:v>25.616200685501099</c:v>
                </c:pt>
                <c:pt idx="39">
                  <c:v>25.9583353996276</c:v>
                </c:pt>
                <c:pt idx="40">
                  <c:v>25.304114341735801</c:v>
                </c:pt>
                <c:pt idx="41">
                  <c:v>25.900759220123199</c:v>
                </c:pt>
                <c:pt idx="42">
                  <c:v>25.621778011322</c:v>
                </c:pt>
                <c:pt idx="43">
                  <c:v>25.3194918632507</c:v>
                </c:pt>
                <c:pt idx="44">
                  <c:v>25.141736984252901</c:v>
                </c:pt>
                <c:pt idx="45">
                  <c:v>25.1153063774108</c:v>
                </c:pt>
                <c:pt idx="46">
                  <c:v>25.5728614330291</c:v>
                </c:pt>
                <c:pt idx="47">
                  <c:v>25.255096673965401</c:v>
                </c:pt>
                <c:pt idx="48">
                  <c:v>25.059091806411701</c:v>
                </c:pt>
                <c:pt idx="49">
                  <c:v>25.151455879211401</c:v>
                </c:pt>
                <c:pt idx="50">
                  <c:v>25.525844097137401</c:v>
                </c:pt>
                <c:pt idx="51">
                  <c:v>25.639288902282701</c:v>
                </c:pt>
                <c:pt idx="52">
                  <c:v>24.9257409572601</c:v>
                </c:pt>
                <c:pt idx="53">
                  <c:v>24.694831371307298</c:v>
                </c:pt>
                <c:pt idx="54">
                  <c:v>24.9568722248077</c:v>
                </c:pt>
                <c:pt idx="55">
                  <c:v>14.5975532531738</c:v>
                </c:pt>
                <c:pt idx="56">
                  <c:v>15.222301483154199</c:v>
                </c:pt>
                <c:pt idx="57">
                  <c:v>14.740151643753</c:v>
                </c:pt>
                <c:pt idx="58">
                  <c:v>14.666617631912199</c:v>
                </c:pt>
                <c:pt idx="59">
                  <c:v>14.6945149898529</c:v>
                </c:pt>
                <c:pt idx="60">
                  <c:v>14.578160524368201</c:v>
                </c:pt>
                <c:pt idx="61">
                  <c:v>14.8268094062805</c:v>
                </c:pt>
                <c:pt idx="62">
                  <c:v>14.701824903488101</c:v>
                </c:pt>
                <c:pt idx="63">
                  <c:v>14.8522744178771</c:v>
                </c:pt>
                <c:pt idx="64">
                  <c:v>14.828710556030201</c:v>
                </c:pt>
                <c:pt idx="65">
                  <c:v>14.5822792053222</c:v>
                </c:pt>
                <c:pt idx="66">
                  <c:v>9.4381859302520699</c:v>
                </c:pt>
                <c:pt idx="67">
                  <c:v>9.3418910503387398</c:v>
                </c:pt>
                <c:pt idx="68">
                  <c:v>9.3815741539001394</c:v>
                </c:pt>
                <c:pt idx="69">
                  <c:v>9.1861398220062203</c:v>
                </c:pt>
                <c:pt idx="70">
                  <c:v>9.2293555736541695</c:v>
                </c:pt>
                <c:pt idx="71">
                  <c:v>9.2621791362762398</c:v>
                </c:pt>
                <c:pt idx="72">
                  <c:v>9.6695182323455793</c:v>
                </c:pt>
                <c:pt idx="73">
                  <c:v>9.5406458377838099</c:v>
                </c:pt>
                <c:pt idx="74">
                  <c:v>9.2962729930877597</c:v>
                </c:pt>
                <c:pt idx="75">
                  <c:v>9.1658055782318097</c:v>
                </c:pt>
                <c:pt idx="76">
                  <c:v>8.99031662940979</c:v>
                </c:pt>
                <c:pt idx="77">
                  <c:v>6.53006744384765</c:v>
                </c:pt>
                <c:pt idx="78">
                  <c:v>6.8705716133117596</c:v>
                </c:pt>
                <c:pt idx="79">
                  <c:v>7.0095367431640598</c:v>
                </c:pt>
                <c:pt idx="80">
                  <c:v>6.4355151653289697</c:v>
                </c:pt>
                <c:pt idx="81">
                  <c:v>6.9549849033355704</c:v>
                </c:pt>
                <c:pt idx="82">
                  <c:v>6.7833557128906197</c:v>
                </c:pt>
                <c:pt idx="83">
                  <c:v>6.3187878131866402</c:v>
                </c:pt>
                <c:pt idx="84">
                  <c:v>6.6613643169402996</c:v>
                </c:pt>
                <c:pt idx="85">
                  <c:v>7.0236401557922301</c:v>
                </c:pt>
                <c:pt idx="86">
                  <c:v>6.43969678878784</c:v>
                </c:pt>
                <c:pt idx="87">
                  <c:v>6.6331193447113002</c:v>
                </c:pt>
                <c:pt idx="88">
                  <c:v>6.7287724018096897</c:v>
                </c:pt>
                <c:pt idx="89">
                  <c:v>6.6124103069305402</c:v>
                </c:pt>
                <c:pt idx="90">
                  <c:v>6.7073287963867099</c:v>
                </c:pt>
                <c:pt idx="91">
                  <c:v>6.2916960716247496</c:v>
                </c:pt>
                <c:pt idx="92">
                  <c:v>6.58496069908142</c:v>
                </c:pt>
                <c:pt idx="93">
                  <c:v>6.6740293502807599</c:v>
                </c:pt>
                <c:pt idx="94">
                  <c:v>6.6636178493499703</c:v>
                </c:pt>
                <c:pt idx="95">
                  <c:v>6.6776249408721897</c:v>
                </c:pt>
                <c:pt idx="96">
                  <c:v>6.4293928146362296</c:v>
                </c:pt>
                <c:pt idx="97">
                  <c:v>6.5624272823333696</c:v>
                </c:pt>
                <c:pt idx="98">
                  <c:v>6.2888877391815097</c:v>
                </c:pt>
                <c:pt idx="99">
                  <c:v>6.6010961532592702</c:v>
                </c:pt>
                <c:pt idx="100">
                  <c:v>6.3475315570831299</c:v>
                </c:pt>
                <c:pt idx="101">
                  <c:v>6.5053973197937003</c:v>
                </c:pt>
                <c:pt idx="102">
                  <c:v>6.3617048263549796</c:v>
                </c:pt>
                <c:pt idx="103">
                  <c:v>6.67228078842163</c:v>
                </c:pt>
                <c:pt idx="104">
                  <c:v>6.6434507369995099</c:v>
                </c:pt>
                <c:pt idx="105">
                  <c:v>6.7528123855590803</c:v>
                </c:pt>
                <c:pt idx="106">
                  <c:v>6.6139435768127397</c:v>
                </c:pt>
                <c:pt idx="107">
                  <c:v>6.5981431007385201</c:v>
                </c:pt>
                <c:pt idx="108">
                  <c:v>6.4047899246215803</c:v>
                </c:pt>
                <c:pt idx="109">
                  <c:v>6.4820036888122496</c:v>
                </c:pt>
                <c:pt idx="110">
                  <c:v>7.7898476123809797</c:v>
                </c:pt>
                <c:pt idx="111">
                  <c:v>7.3295760154724103</c:v>
                </c:pt>
                <c:pt idx="112">
                  <c:v>7.5197219848632804</c:v>
                </c:pt>
                <c:pt idx="113">
                  <c:v>7.8995676040649396</c:v>
                </c:pt>
                <c:pt idx="114">
                  <c:v>7.42913722991943</c:v>
                </c:pt>
                <c:pt idx="115">
                  <c:v>7.5477972030639604</c:v>
                </c:pt>
                <c:pt idx="116">
                  <c:v>7.3174548149108798</c:v>
                </c:pt>
                <c:pt idx="117">
                  <c:v>8.4214479923248202</c:v>
                </c:pt>
                <c:pt idx="118">
                  <c:v>7.6180498600006104</c:v>
                </c:pt>
                <c:pt idx="119">
                  <c:v>7.5961799621581996</c:v>
                </c:pt>
                <c:pt idx="120">
                  <c:v>7.7854716777801496</c:v>
                </c:pt>
                <c:pt idx="121">
                  <c:v>8.4318475723266602</c:v>
                </c:pt>
                <c:pt idx="122">
                  <c:v>7.3534386157989502</c:v>
                </c:pt>
                <c:pt idx="123">
                  <c:v>7.5484645366668701</c:v>
                </c:pt>
                <c:pt idx="124">
                  <c:v>7.7977306842803902</c:v>
                </c:pt>
                <c:pt idx="125">
                  <c:v>7.7931883335113499</c:v>
                </c:pt>
                <c:pt idx="126">
                  <c:v>7.4731483459472603</c:v>
                </c:pt>
                <c:pt idx="127">
                  <c:v>7.7029812335968</c:v>
                </c:pt>
                <c:pt idx="128">
                  <c:v>7.2797245979309002</c:v>
                </c:pt>
                <c:pt idx="129">
                  <c:v>7.2088739871978698</c:v>
                </c:pt>
                <c:pt idx="130">
                  <c:v>7.4858469963073704</c:v>
                </c:pt>
                <c:pt idx="131">
                  <c:v>7.6574223041534397</c:v>
                </c:pt>
                <c:pt idx="132">
                  <c:v>7.3764753341674796</c:v>
                </c:pt>
                <c:pt idx="133">
                  <c:v>7.6074280738830504</c:v>
                </c:pt>
                <c:pt idx="134">
                  <c:v>7.2940089702606201</c:v>
                </c:pt>
                <c:pt idx="135">
                  <c:v>7.5111613273620597</c:v>
                </c:pt>
                <c:pt idx="136">
                  <c:v>7.6377146244049001</c:v>
                </c:pt>
                <c:pt idx="137">
                  <c:v>7.3564500808715803</c:v>
                </c:pt>
                <c:pt idx="138">
                  <c:v>6.9957461357116699</c:v>
                </c:pt>
                <c:pt idx="139">
                  <c:v>7.4760937690734801</c:v>
                </c:pt>
                <c:pt idx="140">
                  <c:v>7.2521555423736501</c:v>
                </c:pt>
                <c:pt idx="141">
                  <c:v>7.2541308403015101</c:v>
                </c:pt>
                <c:pt idx="142">
                  <c:v>8.2833900451660103</c:v>
                </c:pt>
                <c:pt idx="143">
                  <c:v>6.7110924720764098</c:v>
                </c:pt>
                <c:pt idx="144">
                  <c:v>6.88000035285949</c:v>
                </c:pt>
                <c:pt idx="145">
                  <c:v>6.9699106216430602</c:v>
                </c:pt>
                <c:pt idx="146">
                  <c:v>6.8455281257629297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B-448A-A8D2-155E36A4D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553776"/>
        <c:axId val="1516559600"/>
      </c:scatterChart>
      <c:valAx>
        <c:axId val="16999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Simulation Time (sec)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6832"/>
        <c:crosses val="autoZero"/>
        <c:crossBetween val="midCat"/>
      </c:valAx>
      <c:valAx>
        <c:axId val="169999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Number of Quantum</a:t>
                </a:r>
                <a:r>
                  <a:rPr lang="en-US" altLang="zh-CN" sz="1200" baseline="0"/>
                  <a:t> Gates</a:t>
                </a:r>
                <a:endParaRPr lang="en-US" altLang="zh-CN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86848"/>
        <c:crosses val="autoZero"/>
        <c:crossBetween val="midCat"/>
      </c:valAx>
      <c:valAx>
        <c:axId val="1516559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Real Quantum Computer Time (sec)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53776"/>
        <c:crosses val="max"/>
        <c:crossBetween val="midCat"/>
      </c:valAx>
      <c:valAx>
        <c:axId val="15165537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16559600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66425415011522"/>
          <c:y val="0.17997383586469301"/>
          <c:w val="0.19795221896016352"/>
          <c:h val="0.1483467289623447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Sim./Real Compute</a:t>
            </a:r>
            <a:r>
              <a:rPr lang="en-US" sz="1800" baseline="0"/>
              <a:t> Time</a:t>
            </a:r>
            <a:r>
              <a:rPr lang="en-US" sz="1800"/>
              <a:t> per Trial vs. </a:t>
            </a:r>
            <a:r>
              <a:rPr lang="en-US" sz="1800" b="0" i="0" u="none" strike="noStrike" baseline="0">
                <a:effectLst/>
              </a:rPr>
              <a:t>Num. of Qubit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dj_data!$N$1</c:f>
              <c:strCache>
                <c:ptCount val="1"/>
                <c:pt idx="0">
                  <c:v>sim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dj_data!$A$2:$A$148</c:f>
              <c:numCache>
                <c:formatCode>General</c:formatCode>
                <c:ptCount val="14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</c:numCache>
            </c:numRef>
          </c:xVal>
          <c:yVal>
            <c:numRef>
              <c:f>dj_data!$N$2:$N$148</c:f>
              <c:numCache>
                <c:formatCode>0.00E+00</c:formatCode>
                <c:ptCount val="147"/>
                <c:pt idx="0">
                  <c:v>4.256435204297302E-7</c:v>
                </c:pt>
                <c:pt idx="1">
                  <c:v>4.1577732190489748E-7</c:v>
                </c:pt>
                <c:pt idx="2">
                  <c:v>4.0099257603287596E-7</c:v>
                </c:pt>
                <c:pt idx="3">
                  <c:v>5.5626151151955075E-7</c:v>
                </c:pt>
                <c:pt idx="4">
                  <c:v>5.2564428187906742E-7</c:v>
                </c:pt>
                <c:pt idx="5">
                  <c:v>4.9971276894211674E-7</c:v>
                </c:pt>
                <c:pt idx="6">
                  <c:v>4.54863766208291E-7</c:v>
                </c:pt>
                <c:pt idx="7">
                  <c:v>4.1982275433838256E-7</c:v>
                </c:pt>
                <c:pt idx="8">
                  <c:v>4.8615038394927979E-7</c:v>
                </c:pt>
                <c:pt idx="9">
                  <c:v>3.883324097841968E-7</c:v>
                </c:pt>
                <c:pt idx="10">
                  <c:v>3.8003781810402833E-7</c:v>
                </c:pt>
                <c:pt idx="11">
                  <c:v>3.8082362152635988E-7</c:v>
                </c:pt>
                <c:pt idx="12">
                  <c:v>4.9622030928730954E-7</c:v>
                </c:pt>
                <c:pt idx="13">
                  <c:v>4.763423930853601E-7</c:v>
                </c:pt>
                <c:pt idx="14">
                  <c:v>4.6263448894023805E-7</c:v>
                </c:pt>
                <c:pt idx="15">
                  <c:v>4.4496846385300048E-7</c:v>
                </c:pt>
                <c:pt idx="16">
                  <c:v>4.5815249904990112E-7</c:v>
                </c:pt>
                <c:pt idx="17">
                  <c:v>4.0099257603287596E-7</c:v>
                </c:pt>
                <c:pt idx="18">
                  <c:v>4.5532942749559816E-7</c:v>
                </c:pt>
                <c:pt idx="19">
                  <c:v>5.0556263886392085E-7</c:v>
                </c:pt>
                <c:pt idx="20">
                  <c:v>4.5300112105906004E-7</c:v>
                </c:pt>
                <c:pt idx="21">
                  <c:v>3.2738898880779664E-7</c:v>
                </c:pt>
                <c:pt idx="22">
                  <c:v>2.9464717954397096E-7</c:v>
                </c:pt>
                <c:pt idx="23">
                  <c:v>4.7817593440413454E-7</c:v>
                </c:pt>
                <c:pt idx="24">
                  <c:v>4.1816383600234985E-7</c:v>
                </c:pt>
                <c:pt idx="25">
                  <c:v>4.2119063436984984E-7</c:v>
                </c:pt>
                <c:pt idx="26">
                  <c:v>4.1417661122977659E-7</c:v>
                </c:pt>
                <c:pt idx="27">
                  <c:v>4.288449417799707E-7</c:v>
                </c:pt>
                <c:pt idx="28">
                  <c:v>3.6673736758530029E-7</c:v>
                </c:pt>
                <c:pt idx="29">
                  <c:v>5.0949165597557979E-7</c:v>
                </c:pt>
                <c:pt idx="30">
                  <c:v>4.2593455873429685E-7</c:v>
                </c:pt>
                <c:pt idx="31">
                  <c:v>2.6114867068827147E-7</c:v>
                </c:pt>
                <c:pt idx="32">
                  <c:v>2.6627094484865602E-7</c:v>
                </c:pt>
                <c:pt idx="33">
                  <c:v>3.224122337996948E-7</c:v>
                </c:pt>
                <c:pt idx="34">
                  <c:v>2.9796501621603881E-7</c:v>
                </c:pt>
                <c:pt idx="35">
                  <c:v>2.9284274205565431E-7</c:v>
                </c:pt>
                <c:pt idx="36">
                  <c:v>4.2674946598708619E-7</c:v>
                </c:pt>
                <c:pt idx="37">
                  <c:v>4.4412445276975584E-7</c:v>
                </c:pt>
                <c:pt idx="38">
                  <c:v>5.0867674872279051E-7</c:v>
                </c:pt>
                <c:pt idx="39">
                  <c:v>5.2453833632171143E-7</c:v>
                </c:pt>
                <c:pt idx="40">
                  <c:v>3.465102054178711E-7</c:v>
                </c:pt>
                <c:pt idx="41">
                  <c:v>4.2011379264295043E-7</c:v>
                </c:pt>
                <c:pt idx="42">
                  <c:v>4.4610351324081421E-7</c:v>
                </c:pt>
                <c:pt idx="43">
                  <c:v>2.7380883693695068E-7</c:v>
                </c:pt>
                <c:pt idx="44">
                  <c:v>3.1312811188399781E-7</c:v>
                </c:pt>
                <c:pt idx="45">
                  <c:v>3.0611408874392457E-7</c:v>
                </c:pt>
                <c:pt idx="46">
                  <c:v>3.3213291317224487E-7</c:v>
                </c:pt>
                <c:pt idx="47">
                  <c:v>2.9630609788000488E-7</c:v>
                </c:pt>
                <c:pt idx="48">
                  <c:v>3.391469363123169E-7</c:v>
                </c:pt>
                <c:pt idx="49">
                  <c:v>3.0524097383022218E-7</c:v>
                </c:pt>
                <c:pt idx="50">
                  <c:v>4.3530599214136595E-7</c:v>
                </c:pt>
                <c:pt idx="51">
                  <c:v>3.026216290891162E-7</c:v>
                </c:pt>
                <c:pt idx="52">
                  <c:v>2.8664362616836914E-7</c:v>
                </c:pt>
                <c:pt idx="53">
                  <c:v>2.379238139837976E-7</c:v>
                </c:pt>
                <c:pt idx="54">
                  <c:v>3.1592207960784425E-7</c:v>
                </c:pt>
                <c:pt idx="55">
                  <c:v>5.9342710301279789E-7</c:v>
                </c:pt>
                <c:pt idx="56">
                  <c:v>7.8458106145262697E-7</c:v>
                </c:pt>
                <c:pt idx="57">
                  <c:v>7.3033152148127439E-7</c:v>
                </c:pt>
                <c:pt idx="58">
                  <c:v>5.9924786910414548E-7</c:v>
                </c:pt>
                <c:pt idx="59">
                  <c:v>6.0244929045438724E-7</c:v>
                </c:pt>
                <c:pt idx="60">
                  <c:v>5.8213481679558595E-7</c:v>
                </c:pt>
                <c:pt idx="61">
                  <c:v>6.4517371356487062E-7</c:v>
                </c:pt>
                <c:pt idx="62">
                  <c:v>5.9243757277727053E-7</c:v>
                </c:pt>
                <c:pt idx="63">
                  <c:v>5.9453304857015377E-7</c:v>
                </c:pt>
                <c:pt idx="64">
                  <c:v>8.6659565567970212E-7</c:v>
                </c:pt>
                <c:pt idx="65">
                  <c:v>4.56697307527063E-7</c:v>
                </c:pt>
                <c:pt idx="66">
                  <c:v>9.6368603408336428E-7</c:v>
                </c:pt>
                <c:pt idx="67">
                  <c:v>9.1048423200845708E-7</c:v>
                </c:pt>
                <c:pt idx="68">
                  <c:v>9.8627060651778815E-7</c:v>
                </c:pt>
                <c:pt idx="69">
                  <c:v>1.0443618521094286E-6</c:v>
                </c:pt>
                <c:pt idx="70">
                  <c:v>1.0743970051407812E-6</c:v>
                </c:pt>
                <c:pt idx="71">
                  <c:v>1.0791700333356836E-6</c:v>
                </c:pt>
                <c:pt idx="72">
                  <c:v>1.2676464393734913E-6</c:v>
                </c:pt>
                <c:pt idx="73">
                  <c:v>1.0367948561906787E-6</c:v>
                </c:pt>
                <c:pt idx="74">
                  <c:v>1.0654330253601074E-6</c:v>
                </c:pt>
                <c:pt idx="75">
                  <c:v>8.75559635460376E-7</c:v>
                </c:pt>
                <c:pt idx="76">
                  <c:v>8.7276566773652829E-7</c:v>
                </c:pt>
                <c:pt idx="77">
                  <c:v>2.328772097825996E-6</c:v>
                </c:pt>
                <c:pt idx="78">
                  <c:v>2.0607840269803908E-6</c:v>
                </c:pt>
                <c:pt idx="79">
                  <c:v>1.938315108418457E-6</c:v>
                </c:pt>
                <c:pt idx="80">
                  <c:v>1.9811559468507716E-6</c:v>
                </c:pt>
                <c:pt idx="81">
                  <c:v>2.0894221961498244E-6</c:v>
                </c:pt>
                <c:pt idx="82">
                  <c:v>2.1725427359342482E-6</c:v>
                </c:pt>
                <c:pt idx="83">
                  <c:v>2.0160805433988478E-6</c:v>
                </c:pt>
                <c:pt idx="84">
                  <c:v>2.2277235984802246E-6</c:v>
                </c:pt>
                <c:pt idx="85">
                  <c:v>1.9720755517482715E-6</c:v>
                </c:pt>
                <c:pt idx="86">
                  <c:v>1.6128178685903515E-6</c:v>
                </c:pt>
                <c:pt idx="87">
                  <c:v>1.5939585864543847E-6</c:v>
                </c:pt>
                <c:pt idx="88">
                  <c:v>3.3550895750522558E-6</c:v>
                </c:pt>
                <c:pt idx="89">
                  <c:v>1.9224826246499998E-6</c:v>
                </c:pt>
                <c:pt idx="90">
                  <c:v>2.1511223167180956E-6</c:v>
                </c:pt>
                <c:pt idx="91">
                  <c:v>2.1392479538917482E-6</c:v>
                </c:pt>
                <c:pt idx="92">
                  <c:v>2.0544975996017384E-6</c:v>
                </c:pt>
                <c:pt idx="93">
                  <c:v>1.9974540919065429E-6</c:v>
                </c:pt>
                <c:pt idx="94">
                  <c:v>1.6856938600540136E-6</c:v>
                </c:pt>
                <c:pt idx="95">
                  <c:v>1.9078142940998048E-6</c:v>
                </c:pt>
                <c:pt idx="96">
                  <c:v>2.0565930753946287E-6</c:v>
                </c:pt>
                <c:pt idx="97">
                  <c:v>1.5725381672382325E-6</c:v>
                </c:pt>
                <c:pt idx="98">
                  <c:v>1.5217810869216894E-6</c:v>
                </c:pt>
                <c:pt idx="99">
                  <c:v>1.8132850527763282E-6</c:v>
                </c:pt>
                <c:pt idx="100">
                  <c:v>1.8780119717121095E-6</c:v>
                </c:pt>
                <c:pt idx="101">
                  <c:v>1.8489081412553711E-6</c:v>
                </c:pt>
                <c:pt idx="102">
                  <c:v>1.6787089407443945E-6</c:v>
                </c:pt>
                <c:pt idx="103">
                  <c:v>1.8987338989973047E-6</c:v>
                </c:pt>
                <c:pt idx="104">
                  <c:v>1.7238780856132423E-6</c:v>
                </c:pt>
                <c:pt idx="105">
                  <c:v>1.811655238270752E-6</c:v>
                </c:pt>
                <c:pt idx="106">
                  <c:v>1.8251594156026758E-6</c:v>
                </c:pt>
                <c:pt idx="107">
                  <c:v>1.8409918993711425E-6</c:v>
                </c:pt>
                <c:pt idx="108">
                  <c:v>1.3997778296470606E-6</c:v>
                </c:pt>
                <c:pt idx="109">
                  <c:v>1.4204997569322559E-6</c:v>
                </c:pt>
                <c:pt idx="110">
                  <c:v>1.57533213496208E-6</c:v>
                </c:pt>
                <c:pt idx="111">
                  <c:v>1.4204997569322559E-6</c:v>
                </c:pt>
                <c:pt idx="112">
                  <c:v>1.5969853848218848E-6</c:v>
                </c:pt>
                <c:pt idx="113">
                  <c:v>1.5604309737682323E-6</c:v>
                </c:pt>
                <c:pt idx="114">
                  <c:v>1.6889534890651661E-6</c:v>
                </c:pt>
                <c:pt idx="115">
                  <c:v>1.6263220459222753E-6</c:v>
                </c:pt>
                <c:pt idx="116">
                  <c:v>1.5026889741420703E-6</c:v>
                </c:pt>
                <c:pt idx="117">
                  <c:v>1.5154946595430372E-6</c:v>
                </c:pt>
                <c:pt idx="118">
                  <c:v>1.5280675143003417E-6</c:v>
                </c:pt>
                <c:pt idx="119">
                  <c:v>1.3960525393485938E-6</c:v>
                </c:pt>
                <c:pt idx="120">
                  <c:v>1.3927929103374413E-6</c:v>
                </c:pt>
                <c:pt idx="121">
                  <c:v>1.6656704246997755E-6</c:v>
                </c:pt>
                <c:pt idx="122">
                  <c:v>1.3704411685466699E-6</c:v>
                </c:pt>
                <c:pt idx="123">
                  <c:v>1.4270190149545606E-6</c:v>
                </c:pt>
                <c:pt idx="124">
                  <c:v>1.322710886597627E-6</c:v>
                </c:pt>
                <c:pt idx="125">
                  <c:v>1.3678800314664745E-6</c:v>
                </c:pt>
                <c:pt idx="126">
                  <c:v>1.3897661119699415E-6</c:v>
                </c:pt>
                <c:pt idx="127">
                  <c:v>1.5390105545520704E-6</c:v>
                </c:pt>
                <c:pt idx="128">
                  <c:v>1.3285316526889746E-6</c:v>
                </c:pt>
                <c:pt idx="129">
                  <c:v>1.8447171896695995E-6</c:v>
                </c:pt>
                <c:pt idx="130">
                  <c:v>1.1869706213474219E-6</c:v>
                </c:pt>
                <c:pt idx="131">
                  <c:v>1.2472737580537794E-6</c:v>
                </c:pt>
                <c:pt idx="132">
                  <c:v>1.2777745723724317E-6</c:v>
                </c:pt>
                <c:pt idx="133">
                  <c:v>1.2237578630447362E-6</c:v>
                </c:pt>
                <c:pt idx="134">
                  <c:v>1.257518306374541E-6</c:v>
                </c:pt>
                <c:pt idx="135">
                  <c:v>1.2975651770830078E-6</c:v>
                </c:pt>
                <c:pt idx="136">
                  <c:v>1.3862736523151368E-6</c:v>
                </c:pt>
                <c:pt idx="137">
                  <c:v>1.2083910405635743E-6</c:v>
                </c:pt>
                <c:pt idx="138">
                  <c:v>1.3459939509630176E-6</c:v>
                </c:pt>
                <c:pt idx="139">
                  <c:v>1.2791715562343555E-6</c:v>
                </c:pt>
                <c:pt idx="140">
                  <c:v>1.3031531125307032E-6</c:v>
                </c:pt>
                <c:pt idx="141">
                  <c:v>1.0926742106676074E-6</c:v>
                </c:pt>
                <c:pt idx="142">
                  <c:v>1.1078082025051075E-6</c:v>
                </c:pt>
                <c:pt idx="143">
                  <c:v>1.4049001038074415E-6</c:v>
                </c:pt>
                <c:pt idx="144">
                  <c:v>1.0523945093154882E-6</c:v>
                </c:pt>
                <c:pt idx="145">
                  <c:v>1.0237563401460645E-6</c:v>
                </c:pt>
                <c:pt idx="146">
                  <c:v>1.0158400982618262E-6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B-439D-9BED-FB5BBE55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51824"/>
        <c:axId val="398652240"/>
      </c:scatterChart>
      <c:scatterChart>
        <c:scatterStyle val="lineMarker"/>
        <c:varyColors val="0"/>
        <c:ser>
          <c:idx val="0"/>
          <c:order val="0"/>
          <c:tx>
            <c:strRef>
              <c:f>dj_data!$M$1</c:f>
              <c:strCache>
                <c:ptCount val="1"/>
                <c:pt idx="0">
                  <c:v>real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dj_data!$A$2:$A$148</c:f>
              <c:numCache>
                <c:formatCode>General</c:formatCode>
                <c:ptCount val="14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</c:numCache>
            </c:numRef>
          </c:xVal>
          <c:yVal>
            <c:numRef>
              <c:f>dj_data!$M$2:$M$148</c:f>
              <c:numCache>
                <c:formatCode>General</c:formatCode>
                <c:ptCount val="147"/>
                <c:pt idx="0">
                  <c:v>3.5643070004880372E-3</c:v>
                </c:pt>
                <c:pt idx="1">
                  <c:v>3.3501499274279909E-3</c:v>
                </c:pt>
                <c:pt idx="2">
                  <c:v>3.5235321847721926E-3</c:v>
                </c:pt>
                <c:pt idx="3">
                  <c:v>3.6391210742294676E-3</c:v>
                </c:pt>
                <c:pt idx="4">
                  <c:v>3.3131858799606445E-3</c:v>
                </c:pt>
                <c:pt idx="5">
                  <c:v>3.6181868345010987E-3</c:v>
                </c:pt>
                <c:pt idx="6">
                  <c:v>3.4678051306400392E-3</c:v>
                </c:pt>
                <c:pt idx="7">
                  <c:v>3.9434141071978878E-3</c:v>
                </c:pt>
                <c:pt idx="8">
                  <c:v>3.6634835705626708E-3</c:v>
                </c:pt>
                <c:pt idx="9">
                  <c:v>3.6698118201456908E-3</c:v>
                </c:pt>
                <c:pt idx="10">
                  <c:v>3.7402017333079103E-3</c:v>
                </c:pt>
                <c:pt idx="11">
                  <c:v>3.227959532523523E-3</c:v>
                </c:pt>
                <c:pt idx="12">
                  <c:v>3.3876195957418457E-3</c:v>
                </c:pt>
                <c:pt idx="13">
                  <c:v>3.4021234023384641E-3</c:v>
                </c:pt>
                <c:pt idx="14">
                  <c:v>3.5943736438639406E-3</c:v>
                </c:pt>
                <c:pt idx="15">
                  <c:v>3.3366921707056398E-3</c:v>
                </c:pt>
                <c:pt idx="16">
                  <c:v>3.4009488008450682E-3</c:v>
                </c:pt>
                <c:pt idx="17">
                  <c:v>3.3653836580924681E-3</c:v>
                </c:pt>
                <c:pt idx="18">
                  <c:v>3.4779267734847902E-3</c:v>
                </c:pt>
                <c:pt idx="19">
                  <c:v>3.3303476520813967E-3</c:v>
                </c:pt>
                <c:pt idx="20">
                  <c:v>3.2160771079361326E-3</c:v>
                </c:pt>
                <c:pt idx="21">
                  <c:v>3.4701203403528689E-3</c:v>
                </c:pt>
                <c:pt idx="22">
                  <c:v>3.2703871838748412E-3</c:v>
                </c:pt>
                <c:pt idx="23">
                  <c:v>3.2400393392890627E-3</c:v>
                </c:pt>
                <c:pt idx="24">
                  <c:v>3.3372330362908447E-3</c:v>
                </c:pt>
                <c:pt idx="25">
                  <c:v>3.1475644209422119E-3</c:v>
                </c:pt>
                <c:pt idx="26">
                  <c:v>3.214001539163281E-3</c:v>
                </c:pt>
                <c:pt idx="27">
                  <c:v>3.2202672446146607E-3</c:v>
                </c:pt>
                <c:pt idx="28">
                  <c:v>3.4791544894687745E-3</c:v>
                </c:pt>
                <c:pt idx="29">
                  <c:v>3.2145291916094603E-3</c:v>
                </c:pt>
                <c:pt idx="30">
                  <c:v>3.2623207371216185E-3</c:v>
                </c:pt>
                <c:pt idx="31">
                  <c:v>3.1354671518783934E-3</c:v>
                </c:pt>
                <c:pt idx="32">
                  <c:v>3.3185438369400756E-3</c:v>
                </c:pt>
                <c:pt idx="33">
                  <c:v>3.1386516930069701E-3</c:v>
                </c:pt>
                <c:pt idx="34">
                  <c:v>3.1263991550076662E-3</c:v>
                </c:pt>
                <c:pt idx="35">
                  <c:v>3.1220314558595337E-3</c:v>
                </c:pt>
                <c:pt idx="36">
                  <c:v>3.1180514197330809E-3</c:v>
                </c:pt>
                <c:pt idx="37">
                  <c:v>3.1931729172356323E-3</c:v>
                </c:pt>
                <c:pt idx="38">
                  <c:v>3.1269776227418333E-3</c:v>
                </c:pt>
                <c:pt idx="39">
                  <c:v>3.1687421142123536E-3</c:v>
                </c:pt>
                <c:pt idx="40">
                  <c:v>3.088881145231421E-3</c:v>
                </c:pt>
                <c:pt idx="41">
                  <c:v>3.1617137719876951E-3</c:v>
                </c:pt>
                <c:pt idx="42">
                  <c:v>3.1276584486477051E-3</c:v>
                </c:pt>
                <c:pt idx="43">
                  <c:v>3.0907582840882203E-3</c:v>
                </c:pt>
                <c:pt idx="44">
                  <c:v>3.0690596904605592E-3</c:v>
                </c:pt>
                <c:pt idx="45">
                  <c:v>3.0658332980237793E-3</c:v>
                </c:pt>
                <c:pt idx="46">
                  <c:v>3.1216871866490601E-3</c:v>
                </c:pt>
                <c:pt idx="47">
                  <c:v>3.0828975432086671E-3</c:v>
                </c:pt>
                <c:pt idx="48">
                  <c:v>3.0589711677748658E-3</c:v>
                </c:pt>
                <c:pt idx="49">
                  <c:v>3.070246079005298E-3</c:v>
                </c:pt>
                <c:pt idx="50">
                  <c:v>3.1159477657638429E-3</c:v>
                </c:pt>
                <c:pt idx="51">
                  <c:v>3.1297960085794312E-3</c:v>
                </c:pt>
                <c:pt idx="52">
                  <c:v>3.0426929879467895E-3</c:v>
                </c:pt>
                <c:pt idx="53">
                  <c:v>3.0145057826302855E-3</c:v>
                </c:pt>
                <c:pt idx="54">
                  <c:v>3.0464931915048462E-3</c:v>
                </c:pt>
                <c:pt idx="55">
                  <c:v>3.5638557747006347E-3</c:v>
                </c:pt>
                <c:pt idx="56">
                  <c:v>3.7163821980356932E-3</c:v>
                </c:pt>
                <c:pt idx="57">
                  <c:v>3.5986698349006348E-3</c:v>
                </c:pt>
                <c:pt idx="58">
                  <c:v>3.5807171952910643E-3</c:v>
                </c:pt>
                <c:pt idx="59">
                  <c:v>3.5875280736945557E-3</c:v>
                </c:pt>
                <c:pt idx="60">
                  <c:v>3.5591212217695803E-3</c:v>
                </c:pt>
                <c:pt idx="61">
                  <c:v>3.6198265152052002E-3</c:v>
                </c:pt>
                <c:pt idx="62">
                  <c:v>3.5893127205781496E-3</c:v>
                </c:pt>
                <c:pt idx="63">
                  <c:v>3.6260435590520263E-3</c:v>
                </c:pt>
                <c:pt idx="64">
                  <c:v>3.6202906630933107E-3</c:v>
                </c:pt>
                <c:pt idx="65">
                  <c:v>3.5601267591118652E-3</c:v>
                </c:pt>
                <c:pt idx="66">
                  <c:v>4.6084892237558935E-3</c:v>
                </c:pt>
                <c:pt idx="67">
                  <c:v>4.5614702394232128E-3</c:v>
                </c:pt>
                <c:pt idx="68">
                  <c:v>4.5808467548340524E-3</c:v>
                </c:pt>
                <c:pt idx="69">
                  <c:v>4.4854198349639747E-3</c:v>
                </c:pt>
                <c:pt idx="70">
                  <c:v>4.5065212761983249E-3</c:v>
                </c:pt>
                <c:pt idx="71">
                  <c:v>4.5225484063848827E-3</c:v>
                </c:pt>
                <c:pt idx="72">
                  <c:v>4.7214444493874899E-3</c:v>
                </c:pt>
                <c:pt idx="73">
                  <c:v>4.6585184754803759E-3</c:v>
                </c:pt>
                <c:pt idx="74">
                  <c:v>4.5391957974061327E-3</c:v>
                </c:pt>
                <c:pt idx="75">
                  <c:v>4.4754910049960009E-3</c:v>
                </c:pt>
                <c:pt idx="76">
                  <c:v>4.389803041703999E-3</c:v>
                </c:pt>
                <c:pt idx="77">
                  <c:v>6.3770189881324707E-3</c:v>
                </c:pt>
                <c:pt idx="78">
                  <c:v>6.7095425911247652E-3</c:v>
                </c:pt>
                <c:pt idx="79">
                  <c:v>6.8452507257461522E-3</c:v>
                </c:pt>
                <c:pt idx="80">
                  <c:v>6.284682778641572E-3</c:v>
                </c:pt>
                <c:pt idx="81">
                  <c:v>6.791977444663643E-3</c:v>
                </c:pt>
                <c:pt idx="82">
                  <c:v>6.6243708133697458E-3</c:v>
                </c:pt>
                <c:pt idx="83">
                  <c:v>6.1706912238150783E-3</c:v>
                </c:pt>
                <c:pt idx="84">
                  <c:v>6.5052385907620114E-3</c:v>
                </c:pt>
                <c:pt idx="85">
                  <c:v>6.8590235896408497E-3</c:v>
                </c:pt>
                <c:pt idx="86">
                  <c:v>6.288766395300625E-3</c:v>
                </c:pt>
                <c:pt idx="87">
                  <c:v>6.4776556100696291E-3</c:v>
                </c:pt>
                <c:pt idx="88">
                  <c:v>6.5710667986422751E-3</c:v>
                </c:pt>
                <c:pt idx="89">
                  <c:v>6.4574319403618557E-3</c:v>
                </c:pt>
                <c:pt idx="90">
                  <c:v>6.5501257777213964E-3</c:v>
                </c:pt>
                <c:pt idx="91">
                  <c:v>6.1442344449460446E-3</c:v>
                </c:pt>
                <c:pt idx="92">
                  <c:v>6.4306256826966992E-3</c:v>
                </c:pt>
                <c:pt idx="93">
                  <c:v>6.5176067873835546E-3</c:v>
                </c:pt>
                <c:pt idx="94">
                  <c:v>6.5074393060058303E-3</c:v>
                </c:pt>
                <c:pt idx="95">
                  <c:v>6.5211181063204978E-3</c:v>
                </c:pt>
                <c:pt idx="96">
                  <c:v>6.2787039205431929E-3</c:v>
                </c:pt>
                <c:pt idx="97">
                  <c:v>6.4086203929036812E-3</c:v>
                </c:pt>
                <c:pt idx="98">
                  <c:v>6.141491932794443E-3</c:v>
                </c:pt>
                <c:pt idx="99">
                  <c:v>6.4463829621672561E-3</c:v>
                </c:pt>
                <c:pt idx="100">
                  <c:v>6.198761286213994E-3</c:v>
                </c:pt>
                <c:pt idx="101">
                  <c:v>6.3529270701110354E-3</c:v>
                </c:pt>
                <c:pt idx="102">
                  <c:v>6.2126023694872847E-3</c:v>
                </c:pt>
                <c:pt idx="103">
                  <c:v>6.515899207442998E-3</c:v>
                </c:pt>
                <c:pt idx="104">
                  <c:v>6.4877448603510839E-3</c:v>
                </c:pt>
                <c:pt idx="105">
                  <c:v>6.5945433452725393E-3</c:v>
                </c:pt>
                <c:pt idx="106">
                  <c:v>6.4589292742311911E-3</c:v>
                </c:pt>
                <c:pt idx="107">
                  <c:v>6.443499121814961E-3</c:v>
                </c:pt>
                <c:pt idx="108">
                  <c:v>6.254677660763262E-3</c:v>
                </c:pt>
                <c:pt idx="109">
                  <c:v>6.3300817273557125E-3</c:v>
                </c:pt>
                <c:pt idx="110">
                  <c:v>7.6072730589658005E-3</c:v>
                </c:pt>
                <c:pt idx="111">
                  <c:v>7.1577890776097757E-3</c:v>
                </c:pt>
                <c:pt idx="112">
                  <c:v>7.3434785008430472E-3</c:v>
                </c:pt>
                <c:pt idx="113">
                  <c:v>7.7144214883446676E-3</c:v>
                </c:pt>
                <c:pt idx="114">
                  <c:v>7.2550168260931934E-3</c:v>
                </c:pt>
                <c:pt idx="115">
                  <c:v>7.3708957061171488E-3</c:v>
                </c:pt>
                <c:pt idx="116">
                  <c:v>7.145951967686406E-3</c:v>
                </c:pt>
                <c:pt idx="117">
                  <c:v>8.2240703050047072E-3</c:v>
                </c:pt>
                <c:pt idx="118">
                  <c:v>7.439501816406846E-3</c:v>
                </c:pt>
                <c:pt idx="119">
                  <c:v>7.4181444942951168E-3</c:v>
                </c:pt>
                <c:pt idx="120">
                  <c:v>7.6029996853321773E-3</c:v>
                </c:pt>
                <c:pt idx="121">
                  <c:v>8.2342261448502541E-3</c:v>
                </c:pt>
                <c:pt idx="122">
                  <c:v>7.1810923982411623E-3</c:v>
                </c:pt>
                <c:pt idx="123">
                  <c:v>7.3715473990887403E-3</c:v>
                </c:pt>
                <c:pt idx="124">
                  <c:v>7.6149713713675685E-3</c:v>
                </c:pt>
                <c:pt idx="125">
                  <c:v>7.6105354819446776E-3</c:v>
                </c:pt>
                <c:pt idx="126">
                  <c:v>7.2979964315891214E-3</c:v>
                </c:pt>
                <c:pt idx="127">
                  <c:v>7.522442610934375E-3</c:v>
                </c:pt>
                <c:pt idx="128">
                  <c:v>7.1091060526668947E-3</c:v>
                </c:pt>
                <c:pt idx="129">
                  <c:v>7.0399160031229197E-3</c:v>
                </c:pt>
                <c:pt idx="130">
                  <c:v>7.3103974573314164E-3</c:v>
                </c:pt>
                <c:pt idx="131">
                  <c:v>7.4779514688998435E-3</c:v>
                </c:pt>
                <c:pt idx="132">
                  <c:v>7.2035891935229293E-3</c:v>
                </c:pt>
                <c:pt idx="133">
                  <c:v>7.4291289784014164E-3</c:v>
                </c:pt>
                <c:pt idx="134">
                  <c:v>7.1230556350201368E-3</c:v>
                </c:pt>
                <c:pt idx="135">
                  <c:v>7.3351184837520114E-3</c:v>
                </c:pt>
                <c:pt idx="136">
                  <c:v>7.4587056878954103E-3</c:v>
                </c:pt>
                <c:pt idx="137">
                  <c:v>7.1840332821011526E-3</c:v>
                </c:pt>
                <c:pt idx="138">
                  <c:v>6.8317833356559277E-3</c:v>
                </c:pt>
                <c:pt idx="139">
                  <c:v>7.3008728213608204E-3</c:v>
                </c:pt>
                <c:pt idx="140">
                  <c:v>7.0821831468492677E-3</c:v>
                </c:pt>
                <c:pt idx="141">
                  <c:v>7.0841121487319435E-3</c:v>
                </c:pt>
                <c:pt idx="142">
                  <c:v>8.0892480909824319E-3</c:v>
                </c:pt>
                <c:pt idx="143">
                  <c:v>6.5538012422621189E-3</c:v>
                </c:pt>
                <c:pt idx="144">
                  <c:v>6.7187503445893457E-3</c:v>
                </c:pt>
                <c:pt idx="145">
                  <c:v>6.806553341448301E-3</c:v>
                </c:pt>
                <c:pt idx="146">
                  <c:v>6.685086060315361E-3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B-439D-9BED-FB5BBE55D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648560"/>
        <c:axId val="1908662288"/>
      </c:scatterChart>
      <c:valAx>
        <c:axId val="39865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Qubits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2240"/>
        <c:crosses val="autoZero"/>
        <c:crossBetween val="midCat"/>
      </c:valAx>
      <c:valAx>
        <c:axId val="3986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 Time per trial (sec)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1824"/>
        <c:crosses val="autoZero"/>
        <c:crossBetween val="midCat"/>
      </c:valAx>
      <c:valAx>
        <c:axId val="19086622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Time per trial (sec)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48560"/>
        <c:crosses val="max"/>
        <c:crossBetween val="midCat"/>
      </c:valAx>
      <c:valAx>
        <c:axId val="190864856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08662288"/>
        <c:crosses val="max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7844556936531477"/>
          <c:y val="0.14049242424242425"/>
          <c:w val="0.28687986800469423"/>
          <c:h val="0.315525797061761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Sim./Real Compute Time vs. </a:t>
            </a:r>
            <a:r>
              <a:rPr lang="en-US" sz="1800" b="0" i="0" u="none" strike="noStrike" baseline="0">
                <a:effectLst/>
              </a:rPr>
              <a:t>Num. of Qubit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bv_data!$H$1</c:f>
              <c:strCache>
                <c:ptCount val="1"/>
                <c:pt idx="0">
                  <c:v>Sim. 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Exp. Sim. Time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bv_data!$A$2:$A$125</c:f>
              <c:numCache>
                <c:formatCode>General</c:formatCode>
                <c:ptCount val="1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</c:numCache>
            </c:numRef>
          </c:xVal>
          <c:yVal>
            <c:numRef>
              <c:f>bv_data!$H$2:$H$125</c:f>
              <c:numCache>
                <c:formatCode>General</c:formatCode>
                <c:ptCount val="124"/>
                <c:pt idx="0">
                  <c:v>3.8750170000000001E-3</c:v>
                </c:pt>
                <c:pt idx="1">
                  <c:v>2.727747E-3</c:v>
                </c:pt>
                <c:pt idx="2">
                  <c:v>2.9675959999999999E-3</c:v>
                </c:pt>
                <c:pt idx="3">
                  <c:v>2.8932089999999999E-3</c:v>
                </c:pt>
                <c:pt idx="4">
                  <c:v>4.0729049999999999E-3</c:v>
                </c:pt>
                <c:pt idx="5">
                  <c:v>3.9420130000000003E-3</c:v>
                </c:pt>
                <c:pt idx="6">
                  <c:v>2.9430390000000002E-3</c:v>
                </c:pt>
                <c:pt idx="7">
                  <c:v>2.779007E-3</c:v>
                </c:pt>
                <c:pt idx="8">
                  <c:v>3.4730429999999999E-3</c:v>
                </c:pt>
                <c:pt idx="9">
                  <c:v>3.4079549999999998E-3</c:v>
                </c:pt>
                <c:pt idx="10">
                  <c:v>2.704859E-3</c:v>
                </c:pt>
                <c:pt idx="11">
                  <c:v>2.6686190000000001E-3</c:v>
                </c:pt>
                <c:pt idx="12">
                  <c:v>3.50666E-3</c:v>
                </c:pt>
                <c:pt idx="13">
                  <c:v>3.3743380000000002E-3</c:v>
                </c:pt>
                <c:pt idx="14">
                  <c:v>2.6285649999999998E-3</c:v>
                </c:pt>
                <c:pt idx="15">
                  <c:v>3.5362240000000001E-3</c:v>
                </c:pt>
                <c:pt idx="16">
                  <c:v>3.391504E-3</c:v>
                </c:pt>
                <c:pt idx="17">
                  <c:v>2.7918819999999999E-3</c:v>
                </c:pt>
                <c:pt idx="18">
                  <c:v>2.9077529999999999E-3</c:v>
                </c:pt>
                <c:pt idx="19">
                  <c:v>2.7847290000000001E-3</c:v>
                </c:pt>
                <c:pt idx="20">
                  <c:v>3.428698E-3</c:v>
                </c:pt>
                <c:pt idx="21">
                  <c:v>3.3857819999999999E-3</c:v>
                </c:pt>
                <c:pt idx="22">
                  <c:v>3.3664699999999999E-3</c:v>
                </c:pt>
                <c:pt idx="23">
                  <c:v>3.433466E-3</c:v>
                </c:pt>
                <c:pt idx="24">
                  <c:v>3.237247E-3</c:v>
                </c:pt>
                <c:pt idx="25">
                  <c:v>3.2341480000000001E-3</c:v>
                </c:pt>
                <c:pt idx="26">
                  <c:v>2.4690630000000001E-3</c:v>
                </c:pt>
                <c:pt idx="27">
                  <c:v>3.1392569999999999E-3</c:v>
                </c:pt>
                <c:pt idx="28">
                  <c:v>3.2508369999999999E-3</c:v>
                </c:pt>
                <c:pt idx="29">
                  <c:v>3.1280520000000001E-3</c:v>
                </c:pt>
                <c:pt idx="30">
                  <c:v>2.3114680000000001E-3</c:v>
                </c:pt>
                <c:pt idx="31">
                  <c:v>3.4782889999999999E-3</c:v>
                </c:pt>
                <c:pt idx="32">
                  <c:v>2.6140209999999998E-3</c:v>
                </c:pt>
                <c:pt idx="33">
                  <c:v>2.7422900000000001E-3</c:v>
                </c:pt>
                <c:pt idx="34">
                  <c:v>2.533436E-3</c:v>
                </c:pt>
                <c:pt idx="35">
                  <c:v>2.635002E-3</c:v>
                </c:pt>
                <c:pt idx="36">
                  <c:v>2.519369E-3</c:v>
                </c:pt>
                <c:pt idx="37">
                  <c:v>2.3775100000000002E-3</c:v>
                </c:pt>
                <c:pt idx="38">
                  <c:v>2.7422900000000001E-3</c:v>
                </c:pt>
                <c:pt idx="39">
                  <c:v>2.5353429999999998E-3</c:v>
                </c:pt>
                <c:pt idx="40">
                  <c:v>2.2988319999999998E-3</c:v>
                </c:pt>
                <c:pt idx="41">
                  <c:v>2.1405220000000002E-3</c:v>
                </c:pt>
                <c:pt idx="42">
                  <c:v>2.1748539999999999E-3</c:v>
                </c:pt>
                <c:pt idx="43">
                  <c:v>2.1693709999999998E-3</c:v>
                </c:pt>
                <c:pt idx="44">
                  <c:v>2.87199E-3</c:v>
                </c:pt>
                <c:pt idx="45">
                  <c:v>2.1457669999999998E-3</c:v>
                </c:pt>
                <c:pt idx="46">
                  <c:v>2.1691319999999998E-3</c:v>
                </c:pt>
                <c:pt idx="47">
                  <c:v>2.1691319999999998E-3</c:v>
                </c:pt>
                <c:pt idx="48">
                  <c:v>2.880812E-3</c:v>
                </c:pt>
                <c:pt idx="49">
                  <c:v>2.9928680000000001E-3</c:v>
                </c:pt>
                <c:pt idx="50">
                  <c:v>2.035856E-3</c:v>
                </c:pt>
                <c:pt idx="51">
                  <c:v>2.087593E-3</c:v>
                </c:pt>
                <c:pt idx="52">
                  <c:v>2.0143990000000001E-3</c:v>
                </c:pt>
                <c:pt idx="53">
                  <c:v>2.0754340000000001E-3</c:v>
                </c:pt>
                <c:pt idx="54">
                  <c:v>2.1007059999999999E-3</c:v>
                </c:pt>
                <c:pt idx="55">
                  <c:v>2.152443E-3</c:v>
                </c:pt>
                <c:pt idx="56">
                  <c:v>2.1324159999999998E-3</c:v>
                </c:pt>
                <c:pt idx="57">
                  <c:v>2.300262E-3</c:v>
                </c:pt>
                <c:pt idx="58">
                  <c:v>2.235889E-3</c:v>
                </c:pt>
                <c:pt idx="59">
                  <c:v>2.0480160000000002E-3</c:v>
                </c:pt>
                <c:pt idx="60">
                  <c:v>2.0151140000000001E-3</c:v>
                </c:pt>
                <c:pt idx="61">
                  <c:v>2.4085040000000001E-3</c:v>
                </c:pt>
                <c:pt idx="62">
                  <c:v>2.0205969999999998E-3</c:v>
                </c:pt>
                <c:pt idx="63">
                  <c:v>2.1076200000000002E-3</c:v>
                </c:pt>
                <c:pt idx="64">
                  <c:v>2.1908280000000001E-3</c:v>
                </c:pt>
                <c:pt idx="65">
                  <c:v>2.0716189999999998E-3</c:v>
                </c:pt>
                <c:pt idx="66">
                  <c:v>1.9245149999999999E-3</c:v>
                </c:pt>
                <c:pt idx="67">
                  <c:v>2.054214E-3</c:v>
                </c:pt>
                <c:pt idx="68">
                  <c:v>2.078533E-3</c:v>
                </c:pt>
                <c:pt idx="69">
                  <c:v>1.9454959999999999E-3</c:v>
                </c:pt>
                <c:pt idx="70">
                  <c:v>1.8990039999999999E-3</c:v>
                </c:pt>
                <c:pt idx="71">
                  <c:v>1.9834039999999998E-3</c:v>
                </c:pt>
                <c:pt idx="72">
                  <c:v>2.0141600000000001E-3</c:v>
                </c:pt>
                <c:pt idx="73">
                  <c:v>2.1634100000000002E-3</c:v>
                </c:pt>
                <c:pt idx="74">
                  <c:v>3.6799910000000001E-3</c:v>
                </c:pt>
                <c:pt idx="75">
                  <c:v>2.101421E-3</c:v>
                </c:pt>
                <c:pt idx="76">
                  <c:v>1.8315320000000001E-3</c:v>
                </c:pt>
                <c:pt idx="77">
                  <c:v>2.268314E-3</c:v>
                </c:pt>
                <c:pt idx="78">
                  <c:v>1.991034E-3</c:v>
                </c:pt>
                <c:pt idx="79">
                  <c:v>2.0694730000000001E-3</c:v>
                </c:pt>
                <c:pt idx="80">
                  <c:v>1.7430779999999999E-3</c:v>
                </c:pt>
                <c:pt idx="81">
                  <c:v>1.7151829999999999E-3</c:v>
                </c:pt>
                <c:pt idx="82">
                  <c:v>1.8453600000000001E-3</c:v>
                </c:pt>
                <c:pt idx="83">
                  <c:v>1.753569E-3</c:v>
                </c:pt>
                <c:pt idx="84">
                  <c:v>1.7178060000000001E-3</c:v>
                </c:pt>
                <c:pt idx="85">
                  <c:v>1.8448830000000001E-3</c:v>
                </c:pt>
                <c:pt idx="86">
                  <c:v>1.783848E-3</c:v>
                </c:pt>
                <c:pt idx="87">
                  <c:v>1.681805E-3</c:v>
                </c:pt>
                <c:pt idx="88">
                  <c:v>2.4983879999999998E-3</c:v>
                </c:pt>
                <c:pt idx="89">
                  <c:v>1.700163E-3</c:v>
                </c:pt>
                <c:pt idx="90">
                  <c:v>1.5316010000000001E-3</c:v>
                </c:pt>
                <c:pt idx="91">
                  <c:v>1.5234949999999999E-3</c:v>
                </c:pt>
                <c:pt idx="92">
                  <c:v>1.529217E-3</c:v>
                </c:pt>
                <c:pt idx="93">
                  <c:v>1.5392299999999999E-3</c:v>
                </c:pt>
                <c:pt idx="94">
                  <c:v>1.6293530000000001E-3</c:v>
                </c:pt>
                <c:pt idx="95">
                  <c:v>1.565933E-3</c:v>
                </c:pt>
                <c:pt idx="96">
                  <c:v>1.557112E-3</c:v>
                </c:pt>
                <c:pt idx="97">
                  <c:v>2.0067689999999998E-3</c:v>
                </c:pt>
                <c:pt idx="98">
                  <c:v>1.6455650000000001E-3</c:v>
                </c:pt>
                <c:pt idx="99">
                  <c:v>1.7595289999999999E-3</c:v>
                </c:pt>
                <c:pt idx="100">
                  <c:v>1.471043E-3</c:v>
                </c:pt>
                <c:pt idx="101">
                  <c:v>1.4631749999999999E-3</c:v>
                </c:pt>
                <c:pt idx="102">
                  <c:v>1.5947820000000001E-3</c:v>
                </c:pt>
                <c:pt idx="103">
                  <c:v>1.4693740000000001E-3</c:v>
                </c:pt>
                <c:pt idx="104">
                  <c:v>1.428604E-3</c:v>
                </c:pt>
                <c:pt idx="105">
                  <c:v>1.5294550000000001E-3</c:v>
                </c:pt>
                <c:pt idx="106">
                  <c:v>1.394749E-3</c:v>
                </c:pt>
                <c:pt idx="107">
                  <c:v>1.4736650000000001E-3</c:v>
                </c:pt>
                <c:pt idx="108">
                  <c:v>1.563311E-3</c:v>
                </c:pt>
                <c:pt idx="109">
                  <c:v>1.4896390000000001E-3</c:v>
                </c:pt>
                <c:pt idx="110">
                  <c:v>1.30105E-3</c:v>
                </c:pt>
                <c:pt idx="111">
                  <c:v>1.294374E-3</c:v>
                </c:pt>
                <c:pt idx="112">
                  <c:v>1.329422E-3</c:v>
                </c:pt>
                <c:pt idx="113">
                  <c:v>1.3396739999999999E-3</c:v>
                </c:pt>
                <c:pt idx="114">
                  <c:v>1.4717580000000001E-3</c:v>
                </c:pt>
                <c:pt idx="115">
                  <c:v>1.319885E-3</c:v>
                </c:pt>
                <c:pt idx="116">
                  <c:v>1.344919E-3</c:v>
                </c:pt>
                <c:pt idx="117">
                  <c:v>1.2972350000000001E-3</c:v>
                </c:pt>
                <c:pt idx="118">
                  <c:v>1.2650490000000001E-3</c:v>
                </c:pt>
                <c:pt idx="119">
                  <c:v>1.2631420000000001E-3</c:v>
                </c:pt>
                <c:pt idx="120">
                  <c:v>1.18494E-3</c:v>
                </c:pt>
                <c:pt idx="121">
                  <c:v>1.188517E-3</c:v>
                </c:pt>
                <c:pt idx="122">
                  <c:v>1.098871E-3</c:v>
                </c:pt>
                <c:pt idx="123">
                  <c:v>1.12319E-3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AA-4B8B-B8D0-3D64F684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51824"/>
        <c:axId val="398652240"/>
      </c:scatterChart>
      <c:scatterChart>
        <c:scatterStyle val="lineMarker"/>
        <c:varyColors val="0"/>
        <c:ser>
          <c:idx val="0"/>
          <c:order val="0"/>
          <c:tx>
            <c:strRef>
              <c:f>bv_data!$G$1</c:f>
              <c:strCache>
                <c:ptCount val="1"/>
                <c:pt idx="0">
                  <c:v>Real 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Exp. Real Time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bv_data!$A$2:$A$125</c:f>
              <c:numCache>
                <c:formatCode>General</c:formatCode>
                <c:ptCount val="1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</c:numCache>
            </c:numRef>
          </c:xVal>
          <c:yVal>
            <c:numRef>
              <c:f>bv_data!$G$2:$G$125</c:f>
              <c:numCache>
                <c:formatCode>General</c:formatCode>
                <c:ptCount val="124"/>
                <c:pt idx="0">
                  <c:v>30.14717078</c:v>
                </c:pt>
                <c:pt idx="1">
                  <c:v>28.47961879</c:v>
                </c:pt>
                <c:pt idx="2">
                  <c:v>29.175038099999998</c:v>
                </c:pt>
                <c:pt idx="3">
                  <c:v>30.255591150000001</c:v>
                </c:pt>
                <c:pt idx="4">
                  <c:v>30.11348271</c:v>
                </c:pt>
                <c:pt idx="5">
                  <c:v>30.692770960000001</c:v>
                </c:pt>
                <c:pt idx="6">
                  <c:v>29.121488329999998</c:v>
                </c:pt>
                <c:pt idx="7">
                  <c:v>28.54795623</c:v>
                </c:pt>
                <c:pt idx="8">
                  <c:v>26.65574694</c:v>
                </c:pt>
                <c:pt idx="9">
                  <c:v>29.031023980000001</c:v>
                </c:pt>
                <c:pt idx="10">
                  <c:v>26.565763239999999</c:v>
                </c:pt>
                <c:pt idx="11">
                  <c:v>26.472142699999999</c:v>
                </c:pt>
                <c:pt idx="12">
                  <c:v>27.19186354</c:v>
                </c:pt>
                <c:pt idx="13">
                  <c:v>26.56590486</c:v>
                </c:pt>
                <c:pt idx="14">
                  <c:v>26.904042480000001</c:v>
                </c:pt>
                <c:pt idx="15">
                  <c:v>29.15143037</c:v>
                </c:pt>
                <c:pt idx="16">
                  <c:v>28.788931130000002</c:v>
                </c:pt>
                <c:pt idx="17">
                  <c:v>28.248757600000001</c:v>
                </c:pt>
                <c:pt idx="18">
                  <c:v>29.2057085</c:v>
                </c:pt>
                <c:pt idx="19">
                  <c:v>27.946083779999999</c:v>
                </c:pt>
                <c:pt idx="20">
                  <c:v>26.951537850000001</c:v>
                </c:pt>
                <c:pt idx="21">
                  <c:v>27.55714321</c:v>
                </c:pt>
                <c:pt idx="22">
                  <c:v>26.003549580000001</c:v>
                </c:pt>
                <c:pt idx="23">
                  <c:v>26.864634280000001</c:v>
                </c:pt>
                <c:pt idx="24">
                  <c:v>26.715162280000001</c:v>
                </c:pt>
                <c:pt idx="25">
                  <c:v>26.56327319</c:v>
                </c:pt>
                <c:pt idx="26">
                  <c:v>26.630359649999999</c:v>
                </c:pt>
                <c:pt idx="27">
                  <c:v>26.846008059999999</c:v>
                </c:pt>
                <c:pt idx="28">
                  <c:v>25.878809449999999</c:v>
                </c:pt>
                <c:pt idx="29">
                  <c:v>26.115904329999999</c:v>
                </c:pt>
                <c:pt idx="30">
                  <c:v>25.946331260000001</c:v>
                </c:pt>
                <c:pt idx="31">
                  <c:v>25.37124562</c:v>
                </c:pt>
                <c:pt idx="32">
                  <c:v>25.9564147</c:v>
                </c:pt>
                <c:pt idx="33">
                  <c:v>25.793041939999998</c:v>
                </c:pt>
                <c:pt idx="34">
                  <c:v>25.846060749999999</c:v>
                </c:pt>
                <c:pt idx="35">
                  <c:v>25.561094050000001</c:v>
                </c:pt>
                <c:pt idx="36">
                  <c:v>25.664440160000002</c:v>
                </c:pt>
                <c:pt idx="37">
                  <c:v>25.37683535</c:v>
                </c:pt>
                <c:pt idx="38">
                  <c:v>25.45975971</c:v>
                </c:pt>
                <c:pt idx="39">
                  <c:v>25.445563790000001</c:v>
                </c:pt>
                <c:pt idx="40">
                  <c:v>25.620198729999998</c:v>
                </c:pt>
                <c:pt idx="41">
                  <c:v>25.32660246</c:v>
                </c:pt>
                <c:pt idx="42">
                  <c:v>24.841200350000001</c:v>
                </c:pt>
                <c:pt idx="43">
                  <c:v>25.688285109999999</c:v>
                </c:pt>
                <c:pt idx="44">
                  <c:v>25.039800169999999</c:v>
                </c:pt>
                <c:pt idx="45">
                  <c:v>25.795416360000001</c:v>
                </c:pt>
                <c:pt idx="46">
                  <c:v>25.294555899999999</c:v>
                </c:pt>
                <c:pt idx="47">
                  <c:v>25.53627753</c:v>
                </c:pt>
                <c:pt idx="48">
                  <c:v>24.70934033</c:v>
                </c:pt>
                <c:pt idx="49">
                  <c:v>25.061631680000001</c:v>
                </c:pt>
                <c:pt idx="50">
                  <c:v>14.938520670000001</c:v>
                </c:pt>
                <c:pt idx="51">
                  <c:v>14.577201840000001</c:v>
                </c:pt>
                <c:pt idx="52">
                  <c:v>14.75330782</c:v>
                </c:pt>
                <c:pt idx="53">
                  <c:v>14.79332089</c:v>
                </c:pt>
                <c:pt idx="54">
                  <c:v>14.688640360000001</c:v>
                </c:pt>
                <c:pt idx="55">
                  <c:v>14.633138900000001</c:v>
                </c:pt>
                <c:pt idx="56">
                  <c:v>14.748100040000001</c:v>
                </c:pt>
                <c:pt idx="57">
                  <c:v>14.64745617</c:v>
                </c:pt>
                <c:pt idx="58">
                  <c:v>14.56031799</c:v>
                </c:pt>
                <c:pt idx="59">
                  <c:v>14.474804880000001</c:v>
                </c:pt>
                <c:pt idx="60">
                  <c:v>9.5438325410000004</c:v>
                </c:pt>
                <c:pt idx="61">
                  <c:v>9.4201018810000008</c:v>
                </c:pt>
                <c:pt idx="62">
                  <c:v>9.3275363450000004</c:v>
                </c:pt>
                <c:pt idx="63">
                  <c:v>9.7461848260000004</c:v>
                </c:pt>
                <c:pt idx="64">
                  <c:v>9.0238647459999992</c:v>
                </c:pt>
                <c:pt idx="65">
                  <c:v>9.5080351830000005</c:v>
                </c:pt>
                <c:pt idx="66">
                  <c:v>9.4924421310000007</c:v>
                </c:pt>
                <c:pt idx="67">
                  <c:v>9.2002835269999999</c:v>
                </c:pt>
                <c:pt idx="68">
                  <c:v>9.4960391519999998</c:v>
                </c:pt>
                <c:pt idx="69">
                  <c:v>9.2851893899999993</c:v>
                </c:pt>
                <c:pt idx="70">
                  <c:v>6.5440628529999998</c:v>
                </c:pt>
                <c:pt idx="71">
                  <c:v>6.6937680239999997</c:v>
                </c:pt>
                <c:pt idx="72">
                  <c:v>6.8551816939999997</c:v>
                </c:pt>
                <c:pt idx="73">
                  <c:v>6.701915026</c:v>
                </c:pt>
                <c:pt idx="74">
                  <c:v>6.6446053980000004</c:v>
                </c:pt>
                <c:pt idx="75">
                  <c:v>6.7131888870000003</c:v>
                </c:pt>
                <c:pt idx="76">
                  <c:v>6.638051033</c:v>
                </c:pt>
                <c:pt idx="77">
                  <c:v>6.3316650389999998</c:v>
                </c:pt>
                <c:pt idx="78">
                  <c:v>6.752380133</c:v>
                </c:pt>
                <c:pt idx="79">
                  <c:v>6.3342344759999998</c:v>
                </c:pt>
                <c:pt idx="80">
                  <c:v>6.5746970180000002</c:v>
                </c:pt>
                <c:pt idx="81">
                  <c:v>6.4890882970000003</c:v>
                </c:pt>
                <c:pt idx="82">
                  <c:v>6.4765100479999997</c:v>
                </c:pt>
                <c:pt idx="83">
                  <c:v>6.4561886790000003</c:v>
                </c:pt>
                <c:pt idx="84">
                  <c:v>6.662145615</c:v>
                </c:pt>
                <c:pt idx="85">
                  <c:v>6.6926679609999997</c:v>
                </c:pt>
                <c:pt idx="86">
                  <c:v>6.4743330480000001</c:v>
                </c:pt>
                <c:pt idx="87">
                  <c:v>6.5403478149999996</c:v>
                </c:pt>
                <c:pt idx="88">
                  <c:v>6.6953995229999999</c:v>
                </c:pt>
                <c:pt idx="89">
                  <c:v>6.6570670600000001</c:v>
                </c:pt>
                <c:pt idx="90">
                  <c:v>6.2125568390000003</c:v>
                </c:pt>
                <c:pt idx="91">
                  <c:v>6.3216133120000002</c:v>
                </c:pt>
                <c:pt idx="92">
                  <c:v>6.4640998840000004</c:v>
                </c:pt>
                <c:pt idx="93">
                  <c:v>6.9526078699999996</c:v>
                </c:pt>
                <c:pt idx="94">
                  <c:v>6.5360381600000004</c:v>
                </c:pt>
                <c:pt idx="95">
                  <c:v>6.4418456549999998</c:v>
                </c:pt>
                <c:pt idx="96">
                  <c:v>6.6429960729999999</c:v>
                </c:pt>
                <c:pt idx="97">
                  <c:v>6.6894741059999996</c:v>
                </c:pt>
                <c:pt idx="98">
                  <c:v>6.5679318899999997</c:v>
                </c:pt>
                <c:pt idx="99">
                  <c:v>6.5680973529999997</c:v>
                </c:pt>
                <c:pt idx="100">
                  <c:v>7.4147675040000003</c:v>
                </c:pt>
                <c:pt idx="101">
                  <c:v>8.6537437439999998</c:v>
                </c:pt>
                <c:pt idx="102">
                  <c:v>7.6899871830000004</c:v>
                </c:pt>
                <c:pt idx="103">
                  <c:v>7.6496624950000003</c:v>
                </c:pt>
                <c:pt idx="104">
                  <c:v>7.442036152</c:v>
                </c:pt>
                <c:pt idx="105">
                  <c:v>8.0239069460000003</c:v>
                </c:pt>
                <c:pt idx="106">
                  <c:v>7.446475983</c:v>
                </c:pt>
                <c:pt idx="107">
                  <c:v>7.5686633590000003</c:v>
                </c:pt>
                <c:pt idx="108">
                  <c:v>7.5001966949999996</c:v>
                </c:pt>
                <c:pt idx="109">
                  <c:v>7.4747719760000004</c:v>
                </c:pt>
                <c:pt idx="110">
                  <c:v>7.5682723520000001</c:v>
                </c:pt>
                <c:pt idx="111">
                  <c:v>7.4498579500000002</c:v>
                </c:pt>
                <c:pt idx="112">
                  <c:v>7.3102493290000004</c:v>
                </c:pt>
                <c:pt idx="113">
                  <c:v>7.3111977579999996</c:v>
                </c:pt>
                <c:pt idx="114">
                  <c:v>7.3789258000000002</c:v>
                </c:pt>
                <c:pt idx="115">
                  <c:v>7.2252101900000003</c:v>
                </c:pt>
                <c:pt idx="116">
                  <c:v>6.9665367600000003</c:v>
                </c:pt>
                <c:pt idx="117">
                  <c:v>6.9948370459999998</c:v>
                </c:pt>
                <c:pt idx="118">
                  <c:v>7.3957817549999998</c:v>
                </c:pt>
                <c:pt idx="119">
                  <c:v>6.9910008909999997</c:v>
                </c:pt>
                <c:pt idx="120">
                  <c:v>7.1560714240000003</c:v>
                </c:pt>
                <c:pt idx="121">
                  <c:v>7.4678587910000003</c:v>
                </c:pt>
                <c:pt idx="122">
                  <c:v>7.3694059850000002</c:v>
                </c:pt>
                <c:pt idx="123">
                  <c:v>7.5954434869999998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AA-4B8B-B8D0-3D64F684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648560"/>
        <c:axId val="1908662288"/>
      </c:scatterChart>
      <c:valAx>
        <c:axId val="398651824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Qubits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2240"/>
        <c:crosses val="autoZero"/>
        <c:crossBetween val="midCat"/>
      </c:valAx>
      <c:valAx>
        <c:axId val="3986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 Time (sec)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1824"/>
        <c:crosses val="autoZero"/>
        <c:crossBetween val="midCat"/>
      </c:valAx>
      <c:valAx>
        <c:axId val="19086622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Quantum Computer Time (sec)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48560"/>
        <c:crosses val="max"/>
        <c:crossBetween val="midCat"/>
      </c:valAx>
      <c:valAx>
        <c:axId val="190864856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08662288"/>
        <c:crosses val="max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49522795140032"/>
          <c:y val="0.15184388189054646"/>
          <c:w val="0.2533664340429797"/>
          <c:h val="0.315525797061761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Sim./Real Compute Time </a:t>
            </a:r>
            <a:r>
              <a:rPr lang="en-US" altLang="zh-CN" sz="1800"/>
              <a:t>per Trials vs. Total gates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bv_data!$O$1</c:f>
              <c:strCache>
                <c:ptCount val="1"/>
                <c:pt idx="0">
                  <c:v>sim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bv_data!$F$2:$F$125</c:f>
              <c:numCache>
                <c:formatCode>General</c:formatCode>
                <c:ptCount val="1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5</c:v>
                </c:pt>
                <c:pt idx="123">
                  <c:v>5</c:v>
                </c:pt>
              </c:numCache>
            </c:numRef>
          </c:xVal>
          <c:yVal>
            <c:numRef>
              <c:f>bv_data!$O$2:$O$125</c:f>
              <c:numCache>
                <c:formatCode>0.00E+00</c:formatCode>
                <c:ptCount val="124"/>
                <c:pt idx="0">
                  <c:v>4.7302453613281252E-7</c:v>
                </c:pt>
                <c:pt idx="1">
                  <c:v>3.329769287109375E-7</c:v>
                </c:pt>
                <c:pt idx="2">
                  <c:v>3.6225537109374998E-7</c:v>
                </c:pt>
                <c:pt idx="3">
                  <c:v>3.5317492675781249E-7</c:v>
                </c:pt>
                <c:pt idx="4">
                  <c:v>4.9718078613281249E-7</c:v>
                </c:pt>
                <c:pt idx="5">
                  <c:v>4.8120275878906254E-7</c:v>
                </c:pt>
                <c:pt idx="6">
                  <c:v>3.5925769042968752E-7</c:v>
                </c:pt>
                <c:pt idx="7">
                  <c:v>3.392342529296875E-7</c:v>
                </c:pt>
                <c:pt idx="8">
                  <c:v>4.2395544433593748E-7</c:v>
                </c:pt>
                <c:pt idx="9">
                  <c:v>4.1601013183593748E-7</c:v>
                </c:pt>
                <c:pt idx="10">
                  <c:v>3.301829833984375E-7</c:v>
                </c:pt>
                <c:pt idx="11">
                  <c:v>3.2575915527343751E-7</c:v>
                </c:pt>
                <c:pt idx="12">
                  <c:v>4.2805908203125E-7</c:v>
                </c:pt>
                <c:pt idx="13">
                  <c:v>4.1190649414062502E-7</c:v>
                </c:pt>
                <c:pt idx="14">
                  <c:v>3.2086975097656248E-7</c:v>
                </c:pt>
                <c:pt idx="15">
                  <c:v>4.3166796875000002E-7</c:v>
                </c:pt>
                <c:pt idx="16">
                  <c:v>4.1400195312500001E-7</c:v>
                </c:pt>
                <c:pt idx="17">
                  <c:v>3.4080590820312498E-7</c:v>
                </c:pt>
                <c:pt idx="18">
                  <c:v>3.5495031738281249E-7</c:v>
                </c:pt>
                <c:pt idx="19">
                  <c:v>3.3993273925781251E-7</c:v>
                </c:pt>
                <c:pt idx="20">
                  <c:v>4.18542236328125E-7</c:v>
                </c:pt>
                <c:pt idx="21">
                  <c:v>4.1330346679687499E-7</c:v>
                </c:pt>
                <c:pt idx="22">
                  <c:v>4.1094604492187499E-7</c:v>
                </c:pt>
                <c:pt idx="23">
                  <c:v>4.19124267578125E-7</c:v>
                </c:pt>
                <c:pt idx="24">
                  <c:v>3.9517175292968749E-7</c:v>
                </c:pt>
                <c:pt idx="25">
                  <c:v>3.9479345703125001E-7</c:v>
                </c:pt>
                <c:pt idx="26">
                  <c:v>3.0139929199218751E-7</c:v>
                </c:pt>
                <c:pt idx="27">
                  <c:v>3.8321008300781249E-7</c:v>
                </c:pt>
                <c:pt idx="28">
                  <c:v>3.9683068847656249E-7</c:v>
                </c:pt>
                <c:pt idx="29">
                  <c:v>3.8184228515625001E-7</c:v>
                </c:pt>
                <c:pt idx="30">
                  <c:v>2.8216162109375001E-7</c:v>
                </c:pt>
                <c:pt idx="31">
                  <c:v>4.2459582519531248E-7</c:v>
                </c:pt>
                <c:pt idx="32">
                  <c:v>3.1909436035156247E-7</c:v>
                </c:pt>
                <c:pt idx="33">
                  <c:v>3.3475219726562501E-7</c:v>
                </c:pt>
                <c:pt idx="34">
                  <c:v>3.0925732421875E-7</c:v>
                </c:pt>
                <c:pt idx="35">
                  <c:v>3.21655517578125E-7</c:v>
                </c:pt>
                <c:pt idx="36">
                  <c:v>3.075401611328125E-7</c:v>
                </c:pt>
                <c:pt idx="37">
                  <c:v>2.9022338867187503E-7</c:v>
                </c:pt>
                <c:pt idx="38">
                  <c:v>3.3475219726562501E-7</c:v>
                </c:pt>
                <c:pt idx="39">
                  <c:v>3.0949011230468748E-7</c:v>
                </c:pt>
                <c:pt idx="40">
                  <c:v>2.8061914062499997E-7</c:v>
                </c:pt>
                <c:pt idx="41">
                  <c:v>2.6129418945312502E-7</c:v>
                </c:pt>
                <c:pt idx="42">
                  <c:v>2.6548510742187499E-7</c:v>
                </c:pt>
                <c:pt idx="43">
                  <c:v>2.6481579589843748E-7</c:v>
                </c:pt>
                <c:pt idx="44">
                  <c:v>3.5058471679687501E-7</c:v>
                </c:pt>
                <c:pt idx="45">
                  <c:v>2.6193444824218748E-7</c:v>
                </c:pt>
                <c:pt idx="46">
                  <c:v>2.6478662109374998E-7</c:v>
                </c:pt>
                <c:pt idx="47">
                  <c:v>2.6478662109374998E-7</c:v>
                </c:pt>
                <c:pt idx="48">
                  <c:v>3.5166162109374999E-7</c:v>
                </c:pt>
                <c:pt idx="49">
                  <c:v>3.6534033203125001E-7</c:v>
                </c:pt>
                <c:pt idx="50">
                  <c:v>4.9703515624999999E-7</c:v>
                </c:pt>
                <c:pt idx="51">
                  <c:v>5.09666259765625E-7</c:v>
                </c:pt>
                <c:pt idx="52">
                  <c:v>4.9179663085937501E-7</c:v>
                </c:pt>
                <c:pt idx="53">
                  <c:v>5.0669775390625003E-7</c:v>
                </c:pt>
                <c:pt idx="54">
                  <c:v>5.1286767578124998E-7</c:v>
                </c:pt>
                <c:pt idx="55">
                  <c:v>5.2549877929687499E-7</c:v>
                </c:pt>
                <c:pt idx="56">
                  <c:v>5.2060937499999996E-7</c:v>
                </c:pt>
                <c:pt idx="57">
                  <c:v>5.6158740234374999E-7</c:v>
                </c:pt>
                <c:pt idx="58">
                  <c:v>5.45871337890625E-7</c:v>
                </c:pt>
                <c:pt idx="59">
                  <c:v>5.0000390625000004E-7</c:v>
                </c:pt>
                <c:pt idx="60">
                  <c:v>9.8394238281250007E-7</c:v>
                </c:pt>
                <c:pt idx="61">
                  <c:v>1.1760273437500001E-6</c:v>
                </c:pt>
                <c:pt idx="62">
                  <c:v>9.8661962890624992E-7</c:v>
                </c:pt>
                <c:pt idx="63">
                  <c:v>1.0291113281250001E-6</c:v>
                </c:pt>
                <c:pt idx="64">
                  <c:v>1.0697402343750001E-6</c:v>
                </c:pt>
                <c:pt idx="65">
                  <c:v>1.0115327148437499E-6</c:v>
                </c:pt>
                <c:pt idx="66">
                  <c:v>9.3970458984374995E-7</c:v>
                </c:pt>
                <c:pt idx="67">
                  <c:v>1.0030341796875E-6</c:v>
                </c:pt>
                <c:pt idx="68">
                  <c:v>1.01490869140625E-6</c:v>
                </c:pt>
                <c:pt idx="69">
                  <c:v>9.4994921874999995E-7</c:v>
                </c:pt>
                <c:pt idx="70">
                  <c:v>1.8544960937499999E-6</c:v>
                </c:pt>
                <c:pt idx="71">
                  <c:v>1.9369179687499998E-6</c:v>
                </c:pt>
                <c:pt idx="72">
                  <c:v>1.9669531250000001E-6</c:v>
                </c:pt>
                <c:pt idx="73">
                  <c:v>2.1127050781250002E-6</c:v>
                </c:pt>
                <c:pt idx="74">
                  <c:v>3.5937412109375001E-6</c:v>
                </c:pt>
                <c:pt idx="75">
                  <c:v>2.0521689453125E-6</c:v>
                </c:pt>
                <c:pt idx="76">
                  <c:v>1.7886054687500001E-6</c:v>
                </c:pt>
                <c:pt idx="77">
                  <c:v>2.215150390625E-6</c:v>
                </c:pt>
                <c:pt idx="78">
                  <c:v>1.944369140625E-6</c:v>
                </c:pt>
                <c:pt idx="79">
                  <c:v>2.0209697265625001E-6</c:v>
                </c:pt>
                <c:pt idx="80">
                  <c:v>1.7022246093749999E-6</c:v>
                </c:pt>
                <c:pt idx="81">
                  <c:v>1.6749833984374999E-6</c:v>
                </c:pt>
                <c:pt idx="82">
                  <c:v>1.8021093750000001E-6</c:v>
                </c:pt>
                <c:pt idx="83">
                  <c:v>1.7124697265625E-6</c:v>
                </c:pt>
                <c:pt idx="84">
                  <c:v>1.6775449218750001E-6</c:v>
                </c:pt>
                <c:pt idx="85">
                  <c:v>1.8016435546875001E-6</c:v>
                </c:pt>
                <c:pt idx="86">
                  <c:v>1.7420390625E-6</c:v>
                </c:pt>
                <c:pt idx="87">
                  <c:v>1.6423876953125E-6</c:v>
                </c:pt>
                <c:pt idx="88">
                  <c:v>2.4398320312499998E-6</c:v>
                </c:pt>
                <c:pt idx="89">
                  <c:v>1.6603154296875E-6</c:v>
                </c:pt>
                <c:pt idx="90">
                  <c:v>1.4957041015625001E-6</c:v>
                </c:pt>
                <c:pt idx="91">
                  <c:v>1.4877880859374999E-6</c:v>
                </c:pt>
                <c:pt idx="92">
                  <c:v>1.4933759765625E-6</c:v>
                </c:pt>
                <c:pt idx="93">
                  <c:v>1.5031542968749999E-6</c:v>
                </c:pt>
                <c:pt idx="94">
                  <c:v>1.5911650390625001E-6</c:v>
                </c:pt>
                <c:pt idx="95">
                  <c:v>1.5292314453125E-6</c:v>
                </c:pt>
                <c:pt idx="96">
                  <c:v>1.5206171875E-6</c:v>
                </c:pt>
                <c:pt idx="97">
                  <c:v>1.9597353515624998E-6</c:v>
                </c:pt>
                <c:pt idx="98">
                  <c:v>1.6069970703125001E-6</c:v>
                </c:pt>
                <c:pt idx="99">
                  <c:v>1.7182900390624999E-6</c:v>
                </c:pt>
                <c:pt idx="100">
                  <c:v>1.4365654296875E-6</c:v>
                </c:pt>
                <c:pt idx="101">
                  <c:v>1.4288818359374999E-6</c:v>
                </c:pt>
                <c:pt idx="102">
                  <c:v>1.5574042968750001E-6</c:v>
                </c:pt>
                <c:pt idx="103">
                  <c:v>1.4349355468750001E-6</c:v>
                </c:pt>
                <c:pt idx="104">
                  <c:v>1.39512109375E-6</c:v>
                </c:pt>
                <c:pt idx="105">
                  <c:v>1.4936083984375001E-6</c:v>
                </c:pt>
                <c:pt idx="106">
                  <c:v>1.3620595703125E-6</c:v>
                </c:pt>
                <c:pt idx="107">
                  <c:v>1.4391259765625001E-6</c:v>
                </c:pt>
                <c:pt idx="108">
                  <c:v>1.5266708984375E-6</c:v>
                </c:pt>
                <c:pt idx="109">
                  <c:v>1.4547255859375001E-6</c:v>
                </c:pt>
                <c:pt idx="110">
                  <c:v>1.270556640625E-6</c:v>
                </c:pt>
                <c:pt idx="111">
                  <c:v>1.264037109375E-6</c:v>
                </c:pt>
                <c:pt idx="112">
                  <c:v>1.298263671875E-6</c:v>
                </c:pt>
                <c:pt idx="113">
                  <c:v>1.3082753906249999E-6</c:v>
                </c:pt>
                <c:pt idx="114">
                  <c:v>1.4372636718750001E-6</c:v>
                </c:pt>
                <c:pt idx="115">
                  <c:v>1.2889501953125E-6</c:v>
                </c:pt>
                <c:pt idx="116">
                  <c:v>1.3133974609375E-6</c:v>
                </c:pt>
                <c:pt idx="117">
                  <c:v>1.2668310546875001E-6</c:v>
                </c:pt>
                <c:pt idx="118">
                  <c:v>1.2353994140625001E-6</c:v>
                </c:pt>
                <c:pt idx="119">
                  <c:v>1.2335371093750001E-6</c:v>
                </c:pt>
                <c:pt idx="120">
                  <c:v>1.15716796875E-6</c:v>
                </c:pt>
                <c:pt idx="121">
                  <c:v>1.1606611328125E-6</c:v>
                </c:pt>
                <c:pt idx="122">
                  <c:v>1.0731162109375E-6</c:v>
                </c:pt>
                <c:pt idx="123">
                  <c:v>1.096865234375E-6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7-4355-B2E3-C25189D0D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996832"/>
        <c:axId val="1699986848"/>
      </c:scatterChart>
      <c:scatterChart>
        <c:scatterStyle val="lineMarker"/>
        <c:varyColors val="0"/>
        <c:ser>
          <c:idx val="0"/>
          <c:order val="0"/>
          <c:tx>
            <c:strRef>
              <c:f>bv_data!$N$1</c:f>
              <c:strCache>
                <c:ptCount val="1"/>
                <c:pt idx="0">
                  <c:v>real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bv_data!$F$2:$F$125</c:f>
              <c:numCache>
                <c:formatCode>General</c:formatCode>
                <c:ptCount val="1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5</c:v>
                </c:pt>
                <c:pt idx="123">
                  <c:v>5</c:v>
                </c:pt>
              </c:numCache>
            </c:numRef>
          </c:xVal>
          <c:yVal>
            <c:numRef>
              <c:f>bv_data!$N$2:$N$125</c:f>
              <c:numCache>
                <c:formatCode>General</c:formatCode>
                <c:ptCount val="124"/>
                <c:pt idx="0">
                  <c:v>3.6800745581054687E-3</c:v>
                </c:pt>
                <c:pt idx="1">
                  <c:v>3.4765159655761719E-3</c:v>
                </c:pt>
                <c:pt idx="2">
                  <c:v>3.561406018066406E-3</c:v>
                </c:pt>
                <c:pt idx="3">
                  <c:v>3.6933094665527345E-3</c:v>
                </c:pt>
                <c:pt idx="4">
                  <c:v>3.6759622448730468E-3</c:v>
                </c:pt>
                <c:pt idx="5">
                  <c:v>3.7466761425781251E-3</c:v>
                </c:pt>
                <c:pt idx="6">
                  <c:v>3.5548691809082029E-3</c:v>
                </c:pt>
                <c:pt idx="7">
                  <c:v>3.4848579382324219E-3</c:v>
                </c:pt>
                <c:pt idx="8">
                  <c:v>3.2538753588867188E-3</c:v>
                </c:pt>
                <c:pt idx="9">
                  <c:v>3.5438261694335938E-3</c:v>
                </c:pt>
                <c:pt idx="10">
                  <c:v>3.2428910205078124E-3</c:v>
                </c:pt>
                <c:pt idx="11">
                  <c:v>3.2314627319335936E-3</c:v>
                </c:pt>
                <c:pt idx="12">
                  <c:v>3.3193192797851562E-3</c:v>
                </c:pt>
                <c:pt idx="13">
                  <c:v>3.2429083081054687E-3</c:v>
                </c:pt>
                <c:pt idx="14">
                  <c:v>3.2841848730468751E-3</c:v>
                </c:pt>
                <c:pt idx="15">
                  <c:v>3.5585242150878906E-3</c:v>
                </c:pt>
                <c:pt idx="16">
                  <c:v>3.5142738195800783E-3</c:v>
                </c:pt>
                <c:pt idx="17">
                  <c:v>3.4483346679687501E-3</c:v>
                </c:pt>
                <c:pt idx="18">
                  <c:v>3.5651499633789063E-3</c:v>
                </c:pt>
                <c:pt idx="19">
                  <c:v>3.4113871801757811E-3</c:v>
                </c:pt>
                <c:pt idx="20">
                  <c:v>3.2899826477050783E-3</c:v>
                </c:pt>
                <c:pt idx="21">
                  <c:v>3.3639090832519531E-3</c:v>
                </c:pt>
                <c:pt idx="22">
                  <c:v>3.1742614233398439E-3</c:v>
                </c:pt>
                <c:pt idx="23">
                  <c:v>3.2793743017578126E-3</c:v>
                </c:pt>
                <c:pt idx="24">
                  <c:v>3.2611282080078127E-3</c:v>
                </c:pt>
                <c:pt idx="25">
                  <c:v>3.2425870593261719E-3</c:v>
                </c:pt>
                <c:pt idx="26">
                  <c:v>3.2507763244628905E-3</c:v>
                </c:pt>
                <c:pt idx="27">
                  <c:v>3.2771005932617186E-3</c:v>
                </c:pt>
                <c:pt idx="28">
                  <c:v>3.1590343566894529E-3</c:v>
                </c:pt>
                <c:pt idx="29">
                  <c:v>3.187976602783203E-3</c:v>
                </c:pt>
                <c:pt idx="30">
                  <c:v>3.1672767651367189E-3</c:v>
                </c:pt>
                <c:pt idx="31">
                  <c:v>3.0970758813476562E-3</c:v>
                </c:pt>
                <c:pt idx="32">
                  <c:v>3.1685076538085937E-3</c:v>
                </c:pt>
                <c:pt idx="33">
                  <c:v>3.1485646899414061E-3</c:v>
                </c:pt>
                <c:pt idx="34">
                  <c:v>3.1550367126464843E-3</c:v>
                </c:pt>
                <c:pt idx="35">
                  <c:v>3.1202507385253908E-3</c:v>
                </c:pt>
                <c:pt idx="36">
                  <c:v>3.1328662304687502E-3</c:v>
                </c:pt>
                <c:pt idx="37">
                  <c:v>3.0977582214355469E-3</c:v>
                </c:pt>
                <c:pt idx="38">
                  <c:v>3.1078808239746094E-3</c:v>
                </c:pt>
                <c:pt idx="39">
                  <c:v>3.1061479235839845E-3</c:v>
                </c:pt>
                <c:pt idx="40">
                  <c:v>3.1274656652832029E-3</c:v>
                </c:pt>
                <c:pt idx="41">
                  <c:v>3.0916262768554688E-3</c:v>
                </c:pt>
                <c:pt idx="42">
                  <c:v>3.0323730895996095E-3</c:v>
                </c:pt>
                <c:pt idx="43">
                  <c:v>3.1357769909667967E-3</c:v>
                </c:pt>
                <c:pt idx="44">
                  <c:v>3.0566162316894531E-3</c:v>
                </c:pt>
                <c:pt idx="45">
                  <c:v>3.1488545361328126E-3</c:v>
                </c:pt>
                <c:pt idx="46">
                  <c:v>3.0877143432617186E-3</c:v>
                </c:pt>
                <c:pt idx="47">
                  <c:v>3.1172213781738281E-3</c:v>
                </c:pt>
                <c:pt idx="48">
                  <c:v>3.0162768957519531E-3</c:v>
                </c:pt>
                <c:pt idx="49">
                  <c:v>3.0592812109375002E-3</c:v>
                </c:pt>
                <c:pt idx="50">
                  <c:v>3.647099772949219E-3</c:v>
                </c:pt>
                <c:pt idx="51">
                  <c:v>3.5588871679687502E-3</c:v>
                </c:pt>
                <c:pt idx="52">
                  <c:v>3.6018817919921875E-3</c:v>
                </c:pt>
                <c:pt idx="53">
                  <c:v>3.6116506079101563E-3</c:v>
                </c:pt>
                <c:pt idx="54">
                  <c:v>3.5860938378906252E-3</c:v>
                </c:pt>
                <c:pt idx="55">
                  <c:v>3.5725436767578126E-3</c:v>
                </c:pt>
                <c:pt idx="56">
                  <c:v>3.6006103613281252E-3</c:v>
                </c:pt>
                <c:pt idx="57">
                  <c:v>3.5760391040039062E-3</c:v>
                </c:pt>
                <c:pt idx="58">
                  <c:v>3.5547651342773437E-3</c:v>
                </c:pt>
                <c:pt idx="59">
                  <c:v>3.5338879101562502E-3</c:v>
                </c:pt>
                <c:pt idx="60">
                  <c:v>4.6600744829101565E-3</c:v>
                </c:pt>
                <c:pt idx="61">
                  <c:v>4.5996591215820316E-3</c:v>
                </c:pt>
                <c:pt idx="62">
                  <c:v>4.5544611059570314E-3</c:v>
                </c:pt>
                <c:pt idx="63">
                  <c:v>4.7588793095703127E-3</c:v>
                </c:pt>
                <c:pt idx="64">
                  <c:v>4.4061839580078121E-3</c:v>
                </c:pt>
                <c:pt idx="65">
                  <c:v>4.642595304199219E-3</c:v>
                </c:pt>
                <c:pt idx="66">
                  <c:v>4.6349815092773441E-3</c:v>
                </c:pt>
                <c:pt idx="67">
                  <c:v>4.4923259409179687E-3</c:v>
                </c:pt>
                <c:pt idx="68">
                  <c:v>4.6367378671874999E-3</c:v>
                </c:pt>
                <c:pt idx="69">
                  <c:v>4.5337838818359372E-3</c:v>
                </c:pt>
                <c:pt idx="70">
                  <c:v>6.3906863798828123E-3</c:v>
                </c:pt>
                <c:pt idx="71">
                  <c:v>6.5368828359374997E-3</c:v>
                </c:pt>
                <c:pt idx="72">
                  <c:v>6.6945133730468747E-3</c:v>
                </c:pt>
                <c:pt idx="73">
                  <c:v>6.544838892578125E-3</c:v>
                </c:pt>
                <c:pt idx="74">
                  <c:v>6.4888724589843754E-3</c:v>
                </c:pt>
                <c:pt idx="75">
                  <c:v>6.5558485224609378E-3</c:v>
                </c:pt>
                <c:pt idx="76">
                  <c:v>6.4824717119140625E-3</c:v>
                </c:pt>
                <c:pt idx="77">
                  <c:v>6.1832666396484373E-3</c:v>
                </c:pt>
                <c:pt idx="78">
                  <c:v>6.5941212236328125E-3</c:v>
                </c:pt>
                <c:pt idx="79">
                  <c:v>6.1857758554687498E-3</c:v>
                </c:pt>
                <c:pt idx="80">
                  <c:v>6.4206025566406252E-3</c:v>
                </c:pt>
                <c:pt idx="81">
                  <c:v>6.3370002900390628E-3</c:v>
                </c:pt>
                <c:pt idx="82">
                  <c:v>6.3247168437499997E-3</c:v>
                </c:pt>
                <c:pt idx="83">
                  <c:v>6.3048717568359378E-3</c:v>
                </c:pt>
                <c:pt idx="84">
                  <c:v>6.5060015771484375E-3</c:v>
                </c:pt>
                <c:pt idx="85">
                  <c:v>6.5358085556640622E-3</c:v>
                </c:pt>
                <c:pt idx="86">
                  <c:v>6.3225908671875001E-3</c:v>
                </c:pt>
                <c:pt idx="87">
                  <c:v>6.3870584130859371E-3</c:v>
                </c:pt>
                <c:pt idx="88">
                  <c:v>6.5384760966796874E-3</c:v>
                </c:pt>
                <c:pt idx="89">
                  <c:v>6.5010420507812501E-3</c:v>
                </c:pt>
                <c:pt idx="90">
                  <c:v>6.0669500380859378E-3</c:v>
                </c:pt>
                <c:pt idx="91">
                  <c:v>6.1734505000000002E-3</c:v>
                </c:pt>
                <c:pt idx="92">
                  <c:v>6.3125975429687503E-3</c:v>
                </c:pt>
                <c:pt idx="93">
                  <c:v>6.7896561230468746E-3</c:v>
                </c:pt>
                <c:pt idx="94">
                  <c:v>6.3828497656250004E-3</c:v>
                </c:pt>
                <c:pt idx="95">
                  <c:v>6.2908648974609373E-3</c:v>
                </c:pt>
                <c:pt idx="96">
                  <c:v>6.4873008525390624E-3</c:v>
                </c:pt>
                <c:pt idx="97">
                  <c:v>6.5326895566406246E-3</c:v>
                </c:pt>
                <c:pt idx="98">
                  <c:v>6.4139959863281247E-3</c:v>
                </c:pt>
                <c:pt idx="99">
                  <c:v>6.4141575712890623E-3</c:v>
                </c:pt>
                <c:pt idx="100">
                  <c:v>7.2409838906250003E-3</c:v>
                </c:pt>
                <c:pt idx="101">
                  <c:v>8.4509216249999998E-3</c:v>
                </c:pt>
                <c:pt idx="102">
                  <c:v>7.5097531083984379E-3</c:v>
                </c:pt>
                <c:pt idx="103">
                  <c:v>7.4703735302734378E-3</c:v>
                </c:pt>
                <c:pt idx="104">
                  <c:v>7.2676134296875E-3</c:v>
                </c:pt>
                <c:pt idx="105">
                  <c:v>7.8358466269531253E-3</c:v>
                </c:pt>
                <c:pt idx="106">
                  <c:v>7.2719492021484375E-3</c:v>
                </c:pt>
                <c:pt idx="107">
                  <c:v>7.3912728115234378E-3</c:v>
                </c:pt>
                <c:pt idx="108">
                  <c:v>7.3244108349609371E-3</c:v>
                </c:pt>
                <c:pt idx="109">
                  <c:v>7.2995820078125004E-3</c:v>
                </c:pt>
                <c:pt idx="110">
                  <c:v>7.3908909687500001E-3</c:v>
                </c:pt>
                <c:pt idx="111">
                  <c:v>7.2752519042968752E-3</c:v>
                </c:pt>
                <c:pt idx="112">
                  <c:v>7.1389153603515628E-3</c:v>
                </c:pt>
                <c:pt idx="113">
                  <c:v>7.1398415605468746E-3</c:v>
                </c:pt>
                <c:pt idx="114">
                  <c:v>7.2059822265625002E-3</c:v>
                </c:pt>
                <c:pt idx="115">
                  <c:v>7.0558693261718753E-3</c:v>
                </c:pt>
                <c:pt idx="116">
                  <c:v>6.8032585546875003E-3</c:v>
                </c:pt>
                <c:pt idx="117">
                  <c:v>6.8308955527343748E-3</c:v>
                </c:pt>
                <c:pt idx="118">
                  <c:v>7.2224431201171873E-3</c:v>
                </c:pt>
                <c:pt idx="119">
                  <c:v>6.8271493076171872E-3</c:v>
                </c:pt>
                <c:pt idx="120">
                  <c:v>6.9883510000000003E-3</c:v>
                </c:pt>
                <c:pt idx="121">
                  <c:v>7.2928308505859378E-3</c:v>
                </c:pt>
                <c:pt idx="122">
                  <c:v>7.1966855322265627E-3</c:v>
                </c:pt>
                <c:pt idx="123">
                  <c:v>7.4174252802734373E-3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37-4355-B2E3-C25189D0D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553776"/>
        <c:axId val="1516559600"/>
      </c:scatterChart>
      <c:valAx>
        <c:axId val="16999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Simulation Time per trial (sec)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6832"/>
        <c:crosses val="autoZero"/>
        <c:crossBetween val="midCat"/>
      </c:valAx>
      <c:valAx>
        <c:axId val="169999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Number of Quantum</a:t>
                </a:r>
                <a:r>
                  <a:rPr lang="en-US" altLang="zh-CN" sz="1200" baseline="0"/>
                  <a:t> Gates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86848"/>
        <c:crosses val="autoZero"/>
        <c:crossBetween val="midCat"/>
      </c:valAx>
      <c:valAx>
        <c:axId val="1516559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Real Time per trial (sec)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53776"/>
        <c:crosses val="max"/>
        <c:crossBetween val="midCat"/>
      </c:valAx>
      <c:valAx>
        <c:axId val="15165537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16559600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413843056305537"/>
          <c:y val="0.1421038773683955"/>
          <c:w val="0.28647799122083872"/>
          <c:h val="0.3149741963013356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Sim./Real Compute Time per Trials vs. </a:t>
            </a:r>
            <a:r>
              <a:rPr lang="en-US" sz="1800" b="0" i="0" u="none" strike="noStrike" baseline="0">
                <a:effectLst/>
              </a:rPr>
              <a:t>Num. of Qubit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bv_data!$O$1</c:f>
              <c:strCache>
                <c:ptCount val="1"/>
                <c:pt idx="0">
                  <c:v>sim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bv_data!$A$2:$A$125</c:f>
              <c:numCache>
                <c:formatCode>General</c:formatCode>
                <c:ptCount val="1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</c:numCache>
            </c:numRef>
          </c:xVal>
          <c:yVal>
            <c:numRef>
              <c:f>bv_data!$O$2:$O$125</c:f>
              <c:numCache>
                <c:formatCode>0.00E+00</c:formatCode>
                <c:ptCount val="124"/>
                <c:pt idx="0">
                  <c:v>4.7302453613281252E-7</c:v>
                </c:pt>
                <c:pt idx="1">
                  <c:v>3.329769287109375E-7</c:v>
                </c:pt>
                <c:pt idx="2">
                  <c:v>3.6225537109374998E-7</c:v>
                </c:pt>
                <c:pt idx="3">
                  <c:v>3.5317492675781249E-7</c:v>
                </c:pt>
                <c:pt idx="4">
                  <c:v>4.9718078613281249E-7</c:v>
                </c:pt>
                <c:pt idx="5">
                  <c:v>4.8120275878906254E-7</c:v>
                </c:pt>
                <c:pt idx="6">
                  <c:v>3.5925769042968752E-7</c:v>
                </c:pt>
                <c:pt idx="7">
                  <c:v>3.392342529296875E-7</c:v>
                </c:pt>
                <c:pt idx="8">
                  <c:v>4.2395544433593748E-7</c:v>
                </c:pt>
                <c:pt idx="9">
                  <c:v>4.1601013183593748E-7</c:v>
                </c:pt>
                <c:pt idx="10">
                  <c:v>3.301829833984375E-7</c:v>
                </c:pt>
                <c:pt idx="11">
                  <c:v>3.2575915527343751E-7</c:v>
                </c:pt>
                <c:pt idx="12">
                  <c:v>4.2805908203125E-7</c:v>
                </c:pt>
                <c:pt idx="13">
                  <c:v>4.1190649414062502E-7</c:v>
                </c:pt>
                <c:pt idx="14">
                  <c:v>3.2086975097656248E-7</c:v>
                </c:pt>
                <c:pt idx="15">
                  <c:v>4.3166796875000002E-7</c:v>
                </c:pt>
                <c:pt idx="16">
                  <c:v>4.1400195312500001E-7</c:v>
                </c:pt>
                <c:pt idx="17">
                  <c:v>3.4080590820312498E-7</c:v>
                </c:pt>
                <c:pt idx="18">
                  <c:v>3.5495031738281249E-7</c:v>
                </c:pt>
                <c:pt idx="19">
                  <c:v>3.3993273925781251E-7</c:v>
                </c:pt>
                <c:pt idx="20">
                  <c:v>4.18542236328125E-7</c:v>
                </c:pt>
                <c:pt idx="21">
                  <c:v>4.1330346679687499E-7</c:v>
                </c:pt>
                <c:pt idx="22">
                  <c:v>4.1094604492187499E-7</c:v>
                </c:pt>
                <c:pt idx="23">
                  <c:v>4.19124267578125E-7</c:v>
                </c:pt>
                <c:pt idx="24">
                  <c:v>3.9517175292968749E-7</c:v>
                </c:pt>
                <c:pt idx="25">
                  <c:v>3.9479345703125001E-7</c:v>
                </c:pt>
                <c:pt idx="26">
                  <c:v>3.0139929199218751E-7</c:v>
                </c:pt>
                <c:pt idx="27">
                  <c:v>3.8321008300781249E-7</c:v>
                </c:pt>
                <c:pt idx="28">
                  <c:v>3.9683068847656249E-7</c:v>
                </c:pt>
                <c:pt idx="29">
                  <c:v>3.8184228515625001E-7</c:v>
                </c:pt>
                <c:pt idx="30">
                  <c:v>2.8216162109375001E-7</c:v>
                </c:pt>
                <c:pt idx="31">
                  <c:v>4.2459582519531248E-7</c:v>
                </c:pt>
                <c:pt idx="32">
                  <c:v>3.1909436035156247E-7</c:v>
                </c:pt>
                <c:pt idx="33">
                  <c:v>3.3475219726562501E-7</c:v>
                </c:pt>
                <c:pt idx="34">
                  <c:v>3.0925732421875E-7</c:v>
                </c:pt>
                <c:pt idx="35">
                  <c:v>3.21655517578125E-7</c:v>
                </c:pt>
                <c:pt idx="36">
                  <c:v>3.075401611328125E-7</c:v>
                </c:pt>
                <c:pt idx="37">
                  <c:v>2.9022338867187503E-7</c:v>
                </c:pt>
                <c:pt idx="38">
                  <c:v>3.3475219726562501E-7</c:v>
                </c:pt>
                <c:pt idx="39">
                  <c:v>3.0949011230468748E-7</c:v>
                </c:pt>
                <c:pt idx="40">
                  <c:v>2.8061914062499997E-7</c:v>
                </c:pt>
                <c:pt idx="41">
                  <c:v>2.6129418945312502E-7</c:v>
                </c:pt>
                <c:pt idx="42">
                  <c:v>2.6548510742187499E-7</c:v>
                </c:pt>
                <c:pt idx="43">
                  <c:v>2.6481579589843748E-7</c:v>
                </c:pt>
                <c:pt idx="44">
                  <c:v>3.5058471679687501E-7</c:v>
                </c:pt>
                <c:pt idx="45">
                  <c:v>2.6193444824218748E-7</c:v>
                </c:pt>
                <c:pt idx="46">
                  <c:v>2.6478662109374998E-7</c:v>
                </c:pt>
                <c:pt idx="47">
                  <c:v>2.6478662109374998E-7</c:v>
                </c:pt>
                <c:pt idx="48">
                  <c:v>3.5166162109374999E-7</c:v>
                </c:pt>
                <c:pt idx="49">
                  <c:v>3.6534033203125001E-7</c:v>
                </c:pt>
                <c:pt idx="50">
                  <c:v>4.9703515624999999E-7</c:v>
                </c:pt>
                <c:pt idx="51">
                  <c:v>5.09666259765625E-7</c:v>
                </c:pt>
                <c:pt idx="52">
                  <c:v>4.9179663085937501E-7</c:v>
                </c:pt>
                <c:pt idx="53">
                  <c:v>5.0669775390625003E-7</c:v>
                </c:pt>
                <c:pt idx="54">
                  <c:v>5.1286767578124998E-7</c:v>
                </c:pt>
                <c:pt idx="55">
                  <c:v>5.2549877929687499E-7</c:v>
                </c:pt>
                <c:pt idx="56">
                  <c:v>5.2060937499999996E-7</c:v>
                </c:pt>
                <c:pt idx="57">
                  <c:v>5.6158740234374999E-7</c:v>
                </c:pt>
                <c:pt idx="58">
                  <c:v>5.45871337890625E-7</c:v>
                </c:pt>
                <c:pt idx="59">
                  <c:v>5.0000390625000004E-7</c:v>
                </c:pt>
                <c:pt idx="60">
                  <c:v>9.8394238281250007E-7</c:v>
                </c:pt>
                <c:pt idx="61">
                  <c:v>1.1760273437500001E-6</c:v>
                </c:pt>
                <c:pt idx="62">
                  <c:v>9.8661962890624992E-7</c:v>
                </c:pt>
                <c:pt idx="63">
                  <c:v>1.0291113281250001E-6</c:v>
                </c:pt>
                <c:pt idx="64">
                  <c:v>1.0697402343750001E-6</c:v>
                </c:pt>
                <c:pt idx="65">
                  <c:v>1.0115327148437499E-6</c:v>
                </c:pt>
                <c:pt idx="66">
                  <c:v>9.3970458984374995E-7</c:v>
                </c:pt>
                <c:pt idx="67">
                  <c:v>1.0030341796875E-6</c:v>
                </c:pt>
                <c:pt idx="68">
                  <c:v>1.01490869140625E-6</c:v>
                </c:pt>
                <c:pt idx="69">
                  <c:v>9.4994921874999995E-7</c:v>
                </c:pt>
                <c:pt idx="70">
                  <c:v>1.8544960937499999E-6</c:v>
                </c:pt>
                <c:pt idx="71">
                  <c:v>1.9369179687499998E-6</c:v>
                </c:pt>
                <c:pt idx="72">
                  <c:v>1.9669531250000001E-6</c:v>
                </c:pt>
                <c:pt idx="73">
                  <c:v>2.1127050781250002E-6</c:v>
                </c:pt>
                <c:pt idx="74">
                  <c:v>3.5937412109375001E-6</c:v>
                </c:pt>
                <c:pt idx="75">
                  <c:v>2.0521689453125E-6</c:v>
                </c:pt>
                <c:pt idx="76">
                  <c:v>1.7886054687500001E-6</c:v>
                </c:pt>
                <c:pt idx="77">
                  <c:v>2.215150390625E-6</c:v>
                </c:pt>
                <c:pt idx="78">
                  <c:v>1.944369140625E-6</c:v>
                </c:pt>
                <c:pt idx="79">
                  <c:v>2.0209697265625001E-6</c:v>
                </c:pt>
                <c:pt idx="80">
                  <c:v>1.7022246093749999E-6</c:v>
                </c:pt>
                <c:pt idx="81">
                  <c:v>1.6749833984374999E-6</c:v>
                </c:pt>
                <c:pt idx="82">
                  <c:v>1.8021093750000001E-6</c:v>
                </c:pt>
                <c:pt idx="83">
                  <c:v>1.7124697265625E-6</c:v>
                </c:pt>
                <c:pt idx="84">
                  <c:v>1.6775449218750001E-6</c:v>
                </c:pt>
                <c:pt idx="85">
                  <c:v>1.8016435546875001E-6</c:v>
                </c:pt>
                <c:pt idx="86">
                  <c:v>1.7420390625E-6</c:v>
                </c:pt>
                <c:pt idx="87">
                  <c:v>1.6423876953125E-6</c:v>
                </c:pt>
                <c:pt idx="88">
                  <c:v>2.4398320312499998E-6</c:v>
                </c:pt>
                <c:pt idx="89">
                  <c:v>1.6603154296875E-6</c:v>
                </c:pt>
                <c:pt idx="90">
                  <c:v>1.4957041015625001E-6</c:v>
                </c:pt>
                <c:pt idx="91">
                  <c:v>1.4877880859374999E-6</c:v>
                </c:pt>
                <c:pt idx="92">
                  <c:v>1.4933759765625E-6</c:v>
                </c:pt>
                <c:pt idx="93">
                  <c:v>1.5031542968749999E-6</c:v>
                </c:pt>
                <c:pt idx="94">
                  <c:v>1.5911650390625001E-6</c:v>
                </c:pt>
                <c:pt idx="95">
                  <c:v>1.5292314453125E-6</c:v>
                </c:pt>
                <c:pt idx="96">
                  <c:v>1.5206171875E-6</c:v>
                </c:pt>
                <c:pt idx="97">
                  <c:v>1.9597353515624998E-6</c:v>
                </c:pt>
                <c:pt idx="98">
                  <c:v>1.6069970703125001E-6</c:v>
                </c:pt>
                <c:pt idx="99">
                  <c:v>1.7182900390624999E-6</c:v>
                </c:pt>
                <c:pt idx="100">
                  <c:v>1.4365654296875E-6</c:v>
                </c:pt>
                <c:pt idx="101">
                  <c:v>1.4288818359374999E-6</c:v>
                </c:pt>
                <c:pt idx="102">
                  <c:v>1.5574042968750001E-6</c:v>
                </c:pt>
                <c:pt idx="103">
                  <c:v>1.4349355468750001E-6</c:v>
                </c:pt>
                <c:pt idx="104">
                  <c:v>1.39512109375E-6</c:v>
                </c:pt>
                <c:pt idx="105">
                  <c:v>1.4936083984375001E-6</c:v>
                </c:pt>
                <c:pt idx="106">
                  <c:v>1.3620595703125E-6</c:v>
                </c:pt>
                <c:pt idx="107">
                  <c:v>1.4391259765625001E-6</c:v>
                </c:pt>
                <c:pt idx="108">
                  <c:v>1.5266708984375E-6</c:v>
                </c:pt>
                <c:pt idx="109">
                  <c:v>1.4547255859375001E-6</c:v>
                </c:pt>
                <c:pt idx="110">
                  <c:v>1.270556640625E-6</c:v>
                </c:pt>
                <c:pt idx="111">
                  <c:v>1.264037109375E-6</c:v>
                </c:pt>
                <c:pt idx="112">
                  <c:v>1.298263671875E-6</c:v>
                </c:pt>
                <c:pt idx="113">
                  <c:v>1.3082753906249999E-6</c:v>
                </c:pt>
                <c:pt idx="114">
                  <c:v>1.4372636718750001E-6</c:v>
                </c:pt>
                <c:pt idx="115">
                  <c:v>1.2889501953125E-6</c:v>
                </c:pt>
                <c:pt idx="116">
                  <c:v>1.3133974609375E-6</c:v>
                </c:pt>
                <c:pt idx="117">
                  <c:v>1.2668310546875001E-6</c:v>
                </c:pt>
                <c:pt idx="118">
                  <c:v>1.2353994140625001E-6</c:v>
                </c:pt>
                <c:pt idx="119">
                  <c:v>1.2335371093750001E-6</c:v>
                </c:pt>
                <c:pt idx="120">
                  <c:v>1.15716796875E-6</c:v>
                </c:pt>
                <c:pt idx="121">
                  <c:v>1.1606611328125E-6</c:v>
                </c:pt>
                <c:pt idx="122">
                  <c:v>1.0731162109375E-6</c:v>
                </c:pt>
                <c:pt idx="123">
                  <c:v>1.096865234375E-6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C-4790-98E1-9BDB60E73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651824"/>
        <c:axId val="398652240"/>
      </c:scatterChart>
      <c:scatterChart>
        <c:scatterStyle val="lineMarker"/>
        <c:varyColors val="0"/>
        <c:ser>
          <c:idx val="0"/>
          <c:order val="0"/>
          <c:tx>
            <c:strRef>
              <c:f>bv_data!$N$1</c:f>
              <c:strCache>
                <c:ptCount val="1"/>
                <c:pt idx="0">
                  <c:v>real time per trials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bv_data!$A$2:$A$125</c:f>
              <c:numCache>
                <c:formatCode>General</c:formatCode>
                <c:ptCount val="12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</c:numCache>
            </c:numRef>
          </c:xVal>
          <c:yVal>
            <c:numRef>
              <c:f>bv_data!$N$2:$N$125</c:f>
              <c:numCache>
                <c:formatCode>General</c:formatCode>
                <c:ptCount val="124"/>
                <c:pt idx="0">
                  <c:v>3.6800745581054687E-3</c:v>
                </c:pt>
                <c:pt idx="1">
                  <c:v>3.4765159655761719E-3</c:v>
                </c:pt>
                <c:pt idx="2">
                  <c:v>3.561406018066406E-3</c:v>
                </c:pt>
                <c:pt idx="3">
                  <c:v>3.6933094665527345E-3</c:v>
                </c:pt>
                <c:pt idx="4">
                  <c:v>3.6759622448730468E-3</c:v>
                </c:pt>
                <c:pt idx="5">
                  <c:v>3.7466761425781251E-3</c:v>
                </c:pt>
                <c:pt idx="6">
                  <c:v>3.5548691809082029E-3</c:v>
                </c:pt>
                <c:pt idx="7">
                  <c:v>3.4848579382324219E-3</c:v>
                </c:pt>
                <c:pt idx="8">
                  <c:v>3.2538753588867188E-3</c:v>
                </c:pt>
                <c:pt idx="9">
                  <c:v>3.5438261694335938E-3</c:v>
                </c:pt>
                <c:pt idx="10">
                  <c:v>3.2428910205078124E-3</c:v>
                </c:pt>
                <c:pt idx="11">
                  <c:v>3.2314627319335936E-3</c:v>
                </c:pt>
                <c:pt idx="12">
                  <c:v>3.3193192797851562E-3</c:v>
                </c:pt>
                <c:pt idx="13">
                  <c:v>3.2429083081054687E-3</c:v>
                </c:pt>
                <c:pt idx="14">
                  <c:v>3.2841848730468751E-3</c:v>
                </c:pt>
                <c:pt idx="15">
                  <c:v>3.5585242150878906E-3</c:v>
                </c:pt>
                <c:pt idx="16">
                  <c:v>3.5142738195800783E-3</c:v>
                </c:pt>
                <c:pt idx="17">
                  <c:v>3.4483346679687501E-3</c:v>
                </c:pt>
                <c:pt idx="18">
                  <c:v>3.5651499633789063E-3</c:v>
                </c:pt>
                <c:pt idx="19">
                  <c:v>3.4113871801757811E-3</c:v>
                </c:pt>
                <c:pt idx="20">
                  <c:v>3.2899826477050783E-3</c:v>
                </c:pt>
                <c:pt idx="21">
                  <c:v>3.3639090832519531E-3</c:v>
                </c:pt>
                <c:pt idx="22">
                  <c:v>3.1742614233398439E-3</c:v>
                </c:pt>
                <c:pt idx="23">
                  <c:v>3.2793743017578126E-3</c:v>
                </c:pt>
                <c:pt idx="24">
                  <c:v>3.2611282080078127E-3</c:v>
                </c:pt>
                <c:pt idx="25">
                  <c:v>3.2425870593261719E-3</c:v>
                </c:pt>
                <c:pt idx="26">
                  <c:v>3.2507763244628905E-3</c:v>
                </c:pt>
                <c:pt idx="27">
                  <c:v>3.2771005932617186E-3</c:v>
                </c:pt>
                <c:pt idx="28">
                  <c:v>3.1590343566894529E-3</c:v>
                </c:pt>
                <c:pt idx="29">
                  <c:v>3.187976602783203E-3</c:v>
                </c:pt>
                <c:pt idx="30">
                  <c:v>3.1672767651367189E-3</c:v>
                </c:pt>
                <c:pt idx="31">
                  <c:v>3.0970758813476562E-3</c:v>
                </c:pt>
                <c:pt idx="32">
                  <c:v>3.1685076538085937E-3</c:v>
                </c:pt>
                <c:pt idx="33">
                  <c:v>3.1485646899414061E-3</c:v>
                </c:pt>
                <c:pt idx="34">
                  <c:v>3.1550367126464843E-3</c:v>
                </c:pt>
                <c:pt idx="35">
                  <c:v>3.1202507385253908E-3</c:v>
                </c:pt>
                <c:pt idx="36">
                  <c:v>3.1328662304687502E-3</c:v>
                </c:pt>
                <c:pt idx="37">
                  <c:v>3.0977582214355469E-3</c:v>
                </c:pt>
                <c:pt idx="38">
                  <c:v>3.1078808239746094E-3</c:v>
                </c:pt>
                <c:pt idx="39">
                  <c:v>3.1061479235839845E-3</c:v>
                </c:pt>
                <c:pt idx="40">
                  <c:v>3.1274656652832029E-3</c:v>
                </c:pt>
                <c:pt idx="41">
                  <c:v>3.0916262768554688E-3</c:v>
                </c:pt>
                <c:pt idx="42">
                  <c:v>3.0323730895996095E-3</c:v>
                </c:pt>
                <c:pt idx="43">
                  <c:v>3.1357769909667967E-3</c:v>
                </c:pt>
                <c:pt idx="44">
                  <c:v>3.0566162316894531E-3</c:v>
                </c:pt>
                <c:pt idx="45">
                  <c:v>3.1488545361328126E-3</c:v>
                </c:pt>
                <c:pt idx="46">
                  <c:v>3.0877143432617186E-3</c:v>
                </c:pt>
                <c:pt idx="47">
                  <c:v>3.1172213781738281E-3</c:v>
                </c:pt>
                <c:pt idx="48">
                  <c:v>3.0162768957519531E-3</c:v>
                </c:pt>
                <c:pt idx="49">
                  <c:v>3.0592812109375002E-3</c:v>
                </c:pt>
                <c:pt idx="50">
                  <c:v>3.647099772949219E-3</c:v>
                </c:pt>
                <c:pt idx="51">
                  <c:v>3.5588871679687502E-3</c:v>
                </c:pt>
                <c:pt idx="52">
                  <c:v>3.6018817919921875E-3</c:v>
                </c:pt>
                <c:pt idx="53">
                  <c:v>3.6116506079101563E-3</c:v>
                </c:pt>
                <c:pt idx="54">
                  <c:v>3.5860938378906252E-3</c:v>
                </c:pt>
                <c:pt idx="55">
                  <c:v>3.5725436767578126E-3</c:v>
                </c:pt>
                <c:pt idx="56">
                  <c:v>3.6006103613281252E-3</c:v>
                </c:pt>
                <c:pt idx="57">
                  <c:v>3.5760391040039062E-3</c:v>
                </c:pt>
                <c:pt idx="58">
                  <c:v>3.5547651342773437E-3</c:v>
                </c:pt>
                <c:pt idx="59">
                  <c:v>3.5338879101562502E-3</c:v>
                </c:pt>
                <c:pt idx="60">
                  <c:v>4.6600744829101565E-3</c:v>
                </c:pt>
                <c:pt idx="61">
                  <c:v>4.5996591215820316E-3</c:v>
                </c:pt>
                <c:pt idx="62">
                  <c:v>4.5544611059570314E-3</c:v>
                </c:pt>
                <c:pt idx="63">
                  <c:v>4.7588793095703127E-3</c:v>
                </c:pt>
                <c:pt idx="64">
                  <c:v>4.4061839580078121E-3</c:v>
                </c:pt>
                <c:pt idx="65">
                  <c:v>4.642595304199219E-3</c:v>
                </c:pt>
                <c:pt idx="66">
                  <c:v>4.6349815092773441E-3</c:v>
                </c:pt>
                <c:pt idx="67">
                  <c:v>4.4923259409179687E-3</c:v>
                </c:pt>
                <c:pt idx="68">
                  <c:v>4.6367378671874999E-3</c:v>
                </c:pt>
                <c:pt idx="69">
                  <c:v>4.5337838818359372E-3</c:v>
                </c:pt>
                <c:pt idx="70">
                  <c:v>6.3906863798828123E-3</c:v>
                </c:pt>
                <c:pt idx="71">
                  <c:v>6.5368828359374997E-3</c:v>
                </c:pt>
                <c:pt idx="72">
                  <c:v>6.6945133730468747E-3</c:v>
                </c:pt>
                <c:pt idx="73">
                  <c:v>6.544838892578125E-3</c:v>
                </c:pt>
                <c:pt idx="74">
                  <c:v>6.4888724589843754E-3</c:v>
                </c:pt>
                <c:pt idx="75">
                  <c:v>6.5558485224609378E-3</c:v>
                </c:pt>
                <c:pt idx="76">
                  <c:v>6.4824717119140625E-3</c:v>
                </c:pt>
                <c:pt idx="77">
                  <c:v>6.1832666396484373E-3</c:v>
                </c:pt>
                <c:pt idx="78">
                  <c:v>6.5941212236328125E-3</c:v>
                </c:pt>
                <c:pt idx="79">
                  <c:v>6.1857758554687498E-3</c:v>
                </c:pt>
                <c:pt idx="80">
                  <c:v>6.4206025566406252E-3</c:v>
                </c:pt>
                <c:pt idx="81">
                  <c:v>6.3370002900390628E-3</c:v>
                </c:pt>
                <c:pt idx="82">
                  <c:v>6.3247168437499997E-3</c:v>
                </c:pt>
                <c:pt idx="83">
                  <c:v>6.3048717568359378E-3</c:v>
                </c:pt>
                <c:pt idx="84">
                  <c:v>6.5060015771484375E-3</c:v>
                </c:pt>
                <c:pt idx="85">
                  <c:v>6.5358085556640622E-3</c:v>
                </c:pt>
                <c:pt idx="86">
                  <c:v>6.3225908671875001E-3</c:v>
                </c:pt>
                <c:pt idx="87">
                  <c:v>6.3870584130859371E-3</c:v>
                </c:pt>
                <c:pt idx="88">
                  <c:v>6.5384760966796874E-3</c:v>
                </c:pt>
                <c:pt idx="89">
                  <c:v>6.5010420507812501E-3</c:v>
                </c:pt>
                <c:pt idx="90">
                  <c:v>6.0669500380859378E-3</c:v>
                </c:pt>
                <c:pt idx="91">
                  <c:v>6.1734505000000002E-3</c:v>
                </c:pt>
                <c:pt idx="92">
                  <c:v>6.3125975429687503E-3</c:v>
                </c:pt>
                <c:pt idx="93">
                  <c:v>6.7896561230468746E-3</c:v>
                </c:pt>
                <c:pt idx="94">
                  <c:v>6.3828497656250004E-3</c:v>
                </c:pt>
                <c:pt idx="95">
                  <c:v>6.2908648974609373E-3</c:v>
                </c:pt>
                <c:pt idx="96">
                  <c:v>6.4873008525390624E-3</c:v>
                </c:pt>
                <c:pt idx="97">
                  <c:v>6.5326895566406246E-3</c:v>
                </c:pt>
                <c:pt idx="98">
                  <c:v>6.4139959863281247E-3</c:v>
                </c:pt>
                <c:pt idx="99">
                  <c:v>6.4141575712890623E-3</c:v>
                </c:pt>
                <c:pt idx="100">
                  <c:v>7.2409838906250003E-3</c:v>
                </c:pt>
                <c:pt idx="101">
                  <c:v>8.4509216249999998E-3</c:v>
                </c:pt>
                <c:pt idx="102">
                  <c:v>7.5097531083984379E-3</c:v>
                </c:pt>
                <c:pt idx="103">
                  <c:v>7.4703735302734378E-3</c:v>
                </c:pt>
                <c:pt idx="104">
                  <c:v>7.2676134296875E-3</c:v>
                </c:pt>
                <c:pt idx="105">
                  <c:v>7.8358466269531253E-3</c:v>
                </c:pt>
                <c:pt idx="106">
                  <c:v>7.2719492021484375E-3</c:v>
                </c:pt>
                <c:pt idx="107">
                  <c:v>7.3912728115234378E-3</c:v>
                </c:pt>
                <c:pt idx="108">
                  <c:v>7.3244108349609371E-3</c:v>
                </c:pt>
                <c:pt idx="109">
                  <c:v>7.2995820078125004E-3</c:v>
                </c:pt>
                <c:pt idx="110">
                  <c:v>7.3908909687500001E-3</c:v>
                </c:pt>
                <c:pt idx="111">
                  <c:v>7.2752519042968752E-3</c:v>
                </c:pt>
                <c:pt idx="112">
                  <c:v>7.1389153603515628E-3</c:v>
                </c:pt>
                <c:pt idx="113">
                  <c:v>7.1398415605468746E-3</c:v>
                </c:pt>
                <c:pt idx="114">
                  <c:v>7.2059822265625002E-3</c:v>
                </c:pt>
                <c:pt idx="115">
                  <c:v>7.0558693261718753E-3</c:v>
                </c:pt>
                <c:pt idx="116">
                  <c:v>6.8032585546875003E-3</c:v>
                </c:pt>
                <c:pt idx="117">
                  <c:v>6.8308955527343748E-3</c:v>
                </c:pt>
                <c:pt idx="118">
                  <c:v>7.2224431201171873E-3</c:v>
                </c:pt>
                <c:pt idx="119">
                  <c:v>6.8271493076171872E-3</c:v>
                </c:pt>
                <c:pt idx="120">
                  <c:v>6.9883510000000003E-3</c:v>
                </c:pt>
                <c:pt idx="121">
                  <c:v>7.2928308505859378E-3</c:v>
                </c:pt>
                <c:pt idx="122">
                  <c:v>7.1966855322265627E-3</c:v>
                </c:pt>
                <c:pt idx="123">
                  <c:v>7.4174252802734373E-3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9C-4790-98E1-9BDB60E73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648560"/>
        <c:axId val="1908662288"/>
      </c:scatterChart>
      <c:valAx>
        <c:axId val="398651824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Qubits</a:t>
                </a:r>
                <a:endParaRPr 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2240"/>
        <c:crosses val="autoZero"/>
        <c:crossBetween val="midCat"/>
      </c:valAx>
      <c:valAx>
        <c:axId val="3986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 Time per trial (sec)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51824"/>
        <c:crosses val="autoZero"/>
        <c:crossBetween val="midCat"/>
      </c:valAx>
      <c:valAx>
        <c:axId val="19086622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Time per trial (sec)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648560"/>
        <c:crosses val="max"/>
        <c:crossBetween val="midCat"/>
      </c:valAx>
      <c:valAx>
        <c:axId val="190864856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908662288"/>
        <c:crosses val="max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471010219653667"/>
          <c:y val="0.13288910500319545"/>
          <c:w val="0.31438092777649579"/>
          <c:h val="0.315525797061761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Sim./Real Compute Time </a:t>
            </a:r>
            <a:r>
              <a:rPr lang="en-US" altLang="zh-CN" sz="1800"/>
              <a:t>vs. Total gates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bv_data!$H$1</c:f>
              <c:strCache>
                <c:ptCount val="1"/>
                <c:pt idx="0">
                  <c:v>Sim. 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bv_data!$F$2:$F$125</c:f>
              <c:numCache>
                <c:formatCode>General</c:formatCode>
                <c:ptCount val="1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5</c:v>
                </c:pt>
                <c:pt idx="123">
                  <c:v>5</c:v>
                </c:pt>
              </c:numCache>
            </c:numRef>
          </c:xVal>
          <c:yVal>
            <c:numRef>
              <c:f>bv_data!$H$2:$H$125</c:f>
              <c:numCache>
                <c:formatCode>General</c:formatCode>
                <c:ptCount val="124"/>
                <c:pt idx="0">
                  <c:v>3.8750170000000001E-3</c:v>
                </c:pt>
                <c:pt idx="1">
                  <c:v>2.727747E-3</c:v>
                </c:pt>
                <c:pt idx="2">
                  <c:v>2.9675959999999999E-3</c:v>
                </c:pt>
                <c:pt idx="3">
                  <c:v>2.8932089999999999E-3</c:v>
                </c:pt>
                <c:pt idx="4">
                  <c:v>4.0729049999999999E-3</c:v>
                </c:pt>
                <c:pt idx="5">
                  <c:v>3.9420130000000003E-3</c:v>
                </c:pt>
                <c:pt idx="6">
                  <c:v>2.9430390000000002E-3</c:v>
                </c:pt>
                <c:pt idx="7">
                  <c:v>2.779007E-3</c:v>
                </c:pt>
                <c:pt idx="8">
                  <c:v>3.4730429999999999E-3</c:v>
                </c:pt>
                <c:pt idx="9">
                  <c:v>3.4079549999999998E-3</c:v>
                </c:pt>
                <c:pt idx="10">
                  <c:v>2.704859E-3</c:v>
                </c:pt>
                <c:pt idx="11">
                  <c:v>2.6686190000000001E-3</c:v>
                </c:pt>
                <c:pt idx="12">
                  <c:v>3.50666E-3</c:v>
                </c:pt>
                <c:pt idx="13">
                  <c:v>3.3743380000000002E-3</c:v>
                </c:pt>
                <c:pt idx="14">
                  <c:v>2.6285649999999998E-3</c:v>
                </c:pt>
                <c:pt idx="15">
                  <c:v>3.5362240000000001E-3</c:v>
                </c:pt>
                <c:pt idx="16">
                  <c:v>3.391504E-3</c:v>
                </c:pt>
                <c:pt idx="17">
                  <c:v>2.7918819999999999E-3</c:v>
                </c:pt>
                <c:pt idx="18">
                  <c:v>2.9077529999999999E-3</c:v>
                </c:pt>
                <c:pt idx="19">
                  <c:v>2.7847290000000001E-3</c:v>
                </c:pt>
                <c:pt idx="20">
                  <c:v>3.428698E-3</c:v>
                </c:pt>
                <c:pt idx="21">
                  <c:v>3.3857819999999999E-3</c:v>
                </c:pt>
                <c:pt idx="22">
                  <c:v>3.3664699999999999E-3</c:v>
                </c:pt>
                <c:pt idx="23">
                  <c:v>3.433466E-3</c:v>
                </c:pt>
                <c:pt idx="24">
                  <c:v>3.237247E-3</c:v>
                </c:pt>
                <c:pt idx="25">
                  <c:v>3.2341480000000001E-3</c:v>
                </c:pt>
                <c:pt idx="26">
                  <c:v>2.4690630000000001E-3</c:v>
                </c:pt>
                <c:pt idx="27">
                  <c:v>3.1392569999999999E-3</c:v>
                </c:pt>
                <c:pt idx="28">
                  <c:v>3.2508369999999999E-3</c:v>
                </c:pt>
                <c:pt idx="29">
                  <c:v>3.1280520000000001E-3</c:v>
                </c:pt>
                <c:pt idx="30">
                  <c:v>2.3114680000000001E-3</c:v>
                </c:pt>
                <c:pt idx="31">
                  <c:v>3.4782889999999999E-3</c:v>
                </c:pt>
                <c:pt idx="32">
                  <c:v>2.6140209999999998E-3</c:v>
                </c:pt>
                <c:pt idx="33">
                  <c:v>2.7422900000000001E-3</c:v>
                </c:pt>
                <c:pt idx="34">
                  <c:v>2.533436E-3</c:v>
                </c:pt>
                <c:pt idx="35">
                  <c:v>2.635002E-3</c:v>
                </c:pt>
                <c:pt idx="36">
                  <c:v>2.519369E-3</c:v>
                </c:pt>
                <c:pt idx="37">
                  <c:v>2.3775100000000002E-3</c:v>
                </c:pt>
                <c:pt idx="38">
                  <c:v>2.7422900000000001E-3</c:v>
                </c:pt>
                <c:pt idx="39">
                  <c:v>2.5353429999999998E-3</c:v>
                </c:pt>
                <c:pt idx="40">
                  <c:v>2.2988319999999998E-3</c:v>
                </c:pt>
                <c:pt idx="41">
                  <c:v>2.1405220000000002E-3</c:v>
                </c:pt>
                <c:pt idx="42">
                  <c:v>2.1748539999999999E-3</c:v>
                </c:pt>
                <c:pt idx="43">
                  <c:v>2.1693709999999998E-3</c:v>
                </c:pt>
                <c:pt idx="44">
                  <c:v>2.87199E-3</c:v>
                </c:pt>
                <c:pt idx="45">
                  <c:v>2.1457669999999998E-3</c:v>
                </c:pt>
                <c:pt idx="46">
                  <c:v>2.1691319999999998E-3</c:v>
                </c:pt>
                <c:pt idx="47">
                  <c:v>2.1691319999999998E-3</c:v>
                </c:pt>
                <c:pt idx="48">
                  <c:v>2.880812E-3</c:v>
                </c:pt>
                <c:pt idx="49">
                  <c:v>2.9928680000000001E-3</c:v>
                </c:pt>
                <c:pt idx="50">
                  <c:v>2.035856E-3</c:v>
                </c:pt>
                <c:pt idx="51">
                  <c:v>2.087593E-3</c:v>
                </c:pt>
                <c:pt idx="52">
                  <c:v>2.0143990000000001E-3</c:v>
                </c:pt>
                <c:pt idx="53">
                  <c:v>2.0754340000000001E-3</c:v>
                </c:pt>
                <c:pt idx="54">
                  <c:v>2.1007059999999999E-3</c:v>
                </c:pt>
                <c:pt idx="55">
                  <c:v>2.152443E-3</c:v>
                </c:pt>
                <c:pt idx="56">
                  <c:v>2.1324159999999998E-3</c:v>
                </c:pt>
                <c:pt idx="57">
                  <c:v>2.300262E-3</c:v>
                </c:pt>
                <c:pt idx="58">
                  <c:v>2.235889E-3</c:v>
                </c:pt>
                <c:pt idx="59">
                  <c:v>2.0480160000000002E-3</c:v>
                </c:pt>
                <c:pt idx="60">
                  <c:v>2.0151140000000001E-3</c:v>
                </c:pt>
                <c:pt idx="61">
                  <c:v>2.4085040000000001E-3</c:v>
                </c:pt>
                <c:pt idx="62">
                  <c:v>2.0205969999999998E-3</c:v>
                </c:pt>
                <c:pt idx="63">
                  <c:v>2.1076200000000002E-3</c:v>
                </c:pt>
                <c:pt idx="64">
                  <c:v>2.1908280000000001E-3</c:v>
                </c:pt>
                <c:pt idx="65">
                  <c:v>2.0716189999999998E-3</c:v>
                </c:pt>
                <c:pt idx="66">
                  <c:v>1.9245149999999999E-3</c:v>
                </c:pt>
                <c:pt idx="67">
                  <c:v>2.054214E-3</c:v>
                </c:pt>
                <c:pt idx="68">
                  <c:v>2.078533E-3</c:v>
                </c:pt>
                <c:pt idx="69">
                  <c:v>1.9454959999999999E-3</c:v>
                </c:pt>
                <c:pt idx="70">
                  <c:v>1.8990039999999999E-3</c:v>
                </c:pt>
                <c:pt idx="71">
                  <c:v>1.9834039999999998E-3</c:v>
                </c:pt>
                <c:pt idx="72">
                  <c:v>2.0141600000000001E-3</c:v>
                </c:pt>
                <c:pt idx="73">
                  <c:v>2.1634100000000002E-3</c:v>
                </c:pt>
                <c:pt idx="74">
                  <c:v>3.6799910000000001E-3</c:v>
                </c:pt>
                <c:pt idx="75">
                  <c:v>2.101421E-3</c:v>
                </c:pt>
                <c:pt idx="76">
                  <c:v>1.8315320000000001E-3</c:v>
                </c:pt>
                <c:pt idx="77">
                  <c:v>2.268314E-3</c:v>
                </c:pt>
                <c:pt idx="78">
                  <c:v>1.991034E-3</c:v>
                </c:pt>
                <c:pt idx="79">
                  <c:v>2.0694730000000001E-3</c:v>
                </c:pt>
                <c:pt idx="80">
                  <c:v>1.7430779999999999E-3</c:v>
                </c:pt>
                <c:pt idx="81">
                  <c:v>1.7151829999999999E-3</c:v>
                </c:pt>
                <c:pt idx="82">
                  <c:v>1.8453600000000001E-3</c:v>
                </c:pt>
                <c:pt idx="83">
                  <c:v>1.753569E-3</c:v>
                </c:pt>
                <c:pt idx="84">
                  <c:v>1.7178060000000001E-3</c:v>
                </c:pt>
                <c:pt idx="85">
                  <c:v>1.8448830000000001E-3</c:v>
                </c:pt>
                <c:pt idx="86">
                  <c:v>1.783848E-3</c:v>
                </c:pt>
                <c:pt idx="87">
                  <c:v>1.681805E-3</c:v>
                </c:pt>
                <c:pt idx="88">
                  <c:v>2.4983879999999998E-3</c:v>
                </c:pt>
                <c:pt idx="89">
                  <c:v>1.700163E-3</c:v>
                </c:pt>
                <c:pt idx="90">
                  <c:v>1.5316010000000001E-3</c:v>
                </c:pt>
                <c:pt idx="91">
                  <c:v>1.5234949999999999E-3</c:v>
                </c:pt>
                <c:pt idx="92">
                  <c:v>1.529217E-3</c:v>
                </c:pt>
                <c:pt idx="93">
                  <c:v>1.5392299999999999E-3</c:v>
                </c:pt>
                <c:pt idx="94">
                  <c:v>1.6293530000000001E-3</c:v>
                </c:pt>
                <c:pt idx="95">
                  <c:v>1.565933E-3</c:v>
                </c:pt>
                <c:pt idx="96">
                  <c:v>1.557112E-3</c:v>
                </c:pt>
                <c:pt idx="97">
                  <c:v>2.0067689999999998E-3</c:v>
                </c:pt>
                <c:pt idx="98">
                  <c:v>1.6455650000000001E-3</c:v>
                </c:pt>
                <c:pt idx="99">
                  <c:v>1.7595289999999999E-3</c:v>
                </c:pt>
                <c:pt idx="100">
                  <c:v>1.471043E-3</c:v>
                </c:pt>
                <c:pt idx="101">
                  <c:v>1.4631749999999999E-3</c:v>
                </c:pt>
                <c:pt idx="102">
                  <c:v>1.5947820000000001E-3</c:v>
                </c:pt>
                <c:pt idx="103">
                  <c:v>1.4693740000000001E-3</c:v>
                </c:pt>
                <c:pt idx="104">
                  <c:v>1.428604E-3</c:v>
                </c:pt>
                <c:pt idx="105">
                  <c:v>1.5294550000000001E-3</c:v>
                </c:pt>
                <c:pt idx="106">
                  <c:v>1.394749E-3</c:v>
                </c:pt>
                <c:pt idx="107">
                  <c:v>1.4736650000000001E-3</c:v>
                </c:pt>
                <c:pt idx="108">
                  <c:v>1.563311E-3</c:v>
                </c:pt>
                <c:pt idx="109">
                  <c:v>1.4896390000000001E-3</c:v>
                </c:pt>
                <c:pt idx="110">
                  <c:v>1.30105E-3</c:v>
                </c:pt>
                <c:pt idx="111">
                  <c:v>1.294374E-3</c:v>
                </c:pt>
                <c:pt idx="112">
                  <c:v>1.329422E-3</c:v>
                </c:pt>
                <c:pt idx="113">
                  <c:v>1.3396739999999999E-3</c:v>
                </c:pt>
                <c:pt idx="114">
                  <c:v>1.4717580000000001E-3</c:v>
                </c:pt>
                <c:pt idx="115">
                  <c:v>1.319885E-3</c:v>
                </c:pt>
                <c:pt idx="116">
                  <c:v>1.344919E-3</c:v>
                </c:pt>
                <c:pt idx="117">
                  <c:v>1.2972350000000001E-3</c:v>
                </c:pt>
                <c:pt idx="118">
                  <c:v>1.2650490000000001E-3</c:v>
                </c:pt>
                <c:pt idx="119">
                  <c:v>1.2631420000000001E-3</c:v>
                </c:pt>
                <c:pt idx="120">
                  <c:v>1.18494E-3</c:v>
                </c:pt>
                <c:pt idx="121">
                  <c:v>1.188517E-3</c:v>
                </c:pt>
                <c:pt idx="122">
                  <c:v>1.098871E-3</c:v>
                </c:pt>
                <c:pt idx="123">
                  <c:v>1.12319E-3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5-4D7E-9A15-C37373BD3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996832"/>
        <c:axId val="1699986848"/>
      </c:scatterChart>
      <c:scatterChart>
        <c:scatterStyle val="lineMarker"/>
        <c:varyColors val="0"/>
        <c:ser>
          <c:idx val="0"/>
          <c:order val="0"/>
          <c:tx>
            <c:strRef>
              <c:f>bv_data!$G$1</c:f>
              <c:strCache>
                <c:ptCount val="1"/>
                <c:pt idx="0">
                  <c:v>Real 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bv_data!$F$2:$F$125</c:f>
              <c:numCache>
                <c:formatCode>General</c:formatCode>
                <c:ptCount val="124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17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14</c:v>
                </c:pt>
                <c:pt idx="101">
                  <c:v>14</c:v>
                </c:pt>
                <c:pt idx="102">
                  <c:v>14</c:v>
                </c:pt>
                <c:pt idx="103">
                  <c:v>14</c:v>
                </c:pt>
                <c:pt idx="104">
                  <c:v>14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5</c:v>
                </c:pt>
                <c:pt idx="123">
                  <c:v>5</c:v>
                </c:pt>
              </c:numCache>
            </c:numRef>
          </c:xVal>
          <c:yVal>
            <c:numRef>
              <c:f>bv_data!$G$2:$G$125</c:f>
              <c:numCache>
                <c:formatCode>General</c:formatCode>
                <c:ptCount val="124"/>
                <c:pt idx="0">
                  <c:v>30.14717078</c:v>
                </c:pt>
                <c:pt idx="1">
                  <c:v>28.47961879</c:v>
                </c:pt>
                <c:pt idx="2">
                  <c:v>29.175038099999998</c:v>
                </c:pt>
                <c:pt idx="3">
                  <c:v>30.255591150000001</c:v>
                </c:pt>
                <c:pt idx="4">
                  <c:v>30.11348271</c:v>
                </c:pt>
                <c:pt idx="5">
                  <c:v>30.692770960000001</c:v>
                </c:pt>
                <c:pt idx="6">
                  <c:v>29.121488329999998</c:v>
                </c:pt>
                <c:pt idx="7">
                  <c:v>28.54795623</c:v>
                </c:pt>
                <c:pt idx="8">
                  <c:v>26.65574694</c:v>
                </c:pt>
                <c:pt idx="9">
                  <c:v>29.031023980000001</c:v>
                </c:pt>
                <c:pt idx="10">
                  <c:v>26.565763239999999</c:v>
                </c:pt>
                <c:pt idx="11">
                  <c:v>26.472142699999999</c:v>
                </c:pt>
                <c:pt idx="12">
                  <c:v>27.19186354</c:v>
                </c:pt>
                <c:pt idx="13">
                  <c:v>26.56590486</c:v>
                </c:pt>
                <c:pt idx="14">
                  <c:v>26.904042480000001</c:v>
                </c:pt>
                <c:pt idx="15">
                  <c:v>29.15143037</c:v>
                </c:pt>
                <c:pt idx="16">
                  <c:v>28.788931130000002</c:v>
                </c:pt>
                <c:pt idx="17">
                  <c:v>28.248757600000001</c:v>
                </c:pt>
                <c:pt idx="18">
                  <c:v>29.2057085</c:v>
                </c:pt>
                <c:pt idx="19">
                  <c:v>27.946083779999999</c:v>
                </c:pt>
                <c:pt idx="20">
                  <c:v>26.951537850000001</c:v>
                </c:pt>
                <c:pt idx="21">
                  <c:v>27.55714321</c:v>
                </c:pt>
                <c:pt idx="22">
                  <c:v>26.003549580000001</c:v>
                </c:pt>
                <c:pt idx="23">
                  <c:v>26.864634280000001</c:v>
                </c:pt>
                <c:pt idx="24">
                  <c:v>26.715162280000001</c:v>
                </c:pt>
                <c:pt idx="25">
                  <c:v>26.56327319</c:v>
                </c:pt>
                <c:pt idx="26">
                  <c:v>26.630359649999999</c:v>
                </c:pt>
                <c:pt idx="27">
                  <c:v>26.846008059999999</c:v>
                </c:pt>
                <c:pt idx="28">
                  <c:v>25.878809449999999</c:v>
                </c:pt>
                <c:pt idx="29">
                  <c:v>26.115904329999999</c:v>
                </c:pt>
                <c:pt idx="30">
                  <c:v>25.946331260000001</c:v>
                </c:pt>
                <c:pt idx="31">
                  <c:v>25.37124562</c:v>
                </c:pt>
                <c:pt idx="32">
                  <c:v>25.9564147</c:v>
                </c:pt>
                <c:pt idx="33">
                  <c:v>25.793041939999998</c:v>
                </c:pt>
                <c:pt idx="34">
                  <c:v>25.846060749999999</c:v>
                </c:pt>
                <c:pt idx="35">
                  <c:v>25.561094050000001</c:v>
                </c:pt>
                <c:pt idx="36">
                  <c:v>25.664440160000002</c:v>
                </c:pt>
                <c:pt idx="37">
                  <c:v>25.37683535</c:v>
                </c:pt>
                <c:pt idx="38">
                  <c:v>25.45975971</c:v>
                </c:pt>
                <c:pt idx="39">
                  <c:v>25.445563790000001</c:v>
                </c:pt>
                <c:pt idx="40">
                  <c:v>25.620198729999998</c:v>
                </c:pt>
                <c:pt idx="41">
                  <c:v>25.32660246</c:v>
                </c:pt>
                <c:pt idx="42">
                  <c:v>24.841200350000001</c:v>
                </c:pt>
                <c:pt idx="43">
                  <c:v>25.688285109999999</c:v>
                </c:pt>
                <c:pt idx="44">
                  <c:v>25.039800169999999</c:v>
                </c:pt>
                <c:pt idx="45">
                  <c:v>25.795416360000001</c:v>
                </c:pt>
                <c:pt idx="46">
                  <c:v>25.294555899999999</c:v>
                </c:pt>
                <c:pt idx="47">
                  <c:v>25.53627753</c:v>
                </c:pt>
                <c:pt idx="48">
                  <c:v>24.70934033</c:v>
                </c:pt>
                <c:pt idx="49">
                  <c:v>25.061631680000001</c:v>
                </c:pt>
                <c:pt idx="50">
                  <c:v>14.938520670000001</c:v>
                </c:pt>
                <c:pt idx="51">
                  <c:v>14.577201840000001</c:v>
                </c:pt>
                <c:pt idx="52">
                  <c:v>14.75330782</c:v>
                </c:pt>
                <c:pt idx="53">
                  <c:v>14.79332089</c:v>
                </c:pt>
                <c:pt idx="54">
                  <c:v>14.688640360000001</c:v>
                </c:pt>
                <c:pt idx="55">
                  <c:v>14.633138900000001</c:v>
                </c:pt>
                <c:pt idx="56">
                  <c:v>14.748100040000001</c:v>
                </c:pt>
                <c:pt idx="57">
                  <c:v>14.64745617</c:v>
                </c:pt>
                <c:pt idx="58">
                  <c:v>14.56031799</c:v>
                </c:pt>
                <c:pt idx="59">
                  <c:v>14.474804880000001</c:v>
                </c:pt>
                <c:pt idx="60">
                  <c:v>9.5438325410000004</c:v>
                </c:pt>
                <c:pt idx="61">
                  <c:v>9.4201018810000008</c:v>
                </c:pt>
                <c:pt idx="62">
                  <c:v>9.3275363450000004</c:v>
                </c:pt>
                <c:pt idx="63">
                  <c:v>9.7461848260000004</c:v>
                </c:pt>
                <c:pt idx="64">
                  <c:v>9.0238647459999992</c:v>
                </c:pt>
                <c:pt idx="65">
                  <c:v>9.5080351830000005</c:v>
                </c:pt>
                <c:pt idx="66">
                  <c:v>9.4924421310000007</c:v>
                </c:pt>
                <c:pt idx="67">
                  <c:v>9.2002835269999999</c:v>
                </c:pt>
                <c:pt idx="68">
                  <c:v>9.4960391519999998</c:v>
                </c:pt>
                <c:pt idx="69">
                  <c:v>9.2851893899999993</c:v>
                </c:pt>
                <c:pt idx="70">
                  <c:v>6.5440628529999998</c:v>
                </c:pt>
                <c:pt idx="71">
                  <c:v>6.6937680239999997</c:v>
                </c:pt>
                <c:pt idx="72">
                  <c:v>6.8551816939999997</c:v>
                </c:pt>
                <c:pt idx="73">
                  <c:v>6.701915026</c:v>
                </c:pt>
                <c:pt idx="74">
                  <c:v>6.6446053980000004</c:v>
                </c:pt>
                <c:pt idx="75">
                  <c:v>6.7131888870000003</c:v>
                </c:pt>
                <c:pt idx="76">
                  <c:v>6.638051033</c:v>
                </c:pt>
                <c:pt idx="77">
                  <c:v>6.3316650389999998</c:v>
                </c:pt>
                <c:pt idx="78">
                  <c:v>6.752380133</c:v>
                </c:pt>
                <c:pt idx="79">
                  <c:v>6.3342344759999998</c:v>
                </c:pt>
                <c:pt idx="80">
                  <c:v>6.5746970180000002</c:v>
                </c:pt>
                <c:pt idx="81">
                  <c:v>6.4890882970000003</c:v>
                </c:pt>
                <c:pt idx="82">
                  <c:v>6.4765100479999997</c:v>
                </c:pt>
                <c:pt idx="83">
                  <c:v>6.4561886790000003</c:v>
                </c:pt>
                <c:pt idx="84">
                  <c:v>6.662145615</c:v>
                </c:pt>
                <c:pt idx="85">
                  <c:v>6.6926679609999997</c:v>
                </c:pt>
                <c:pt idx="86">
                  <c:v>6.4743330480000001</c:v>
                </c:pt>
                <c:pt idx="87">
                  <c:v>6.5403478149999996</c:v>
                </c:pt>
                <c:pt idx="88">
                  <c:v>6.6953995229999999</c:v>
                </c:pt>
                <c:pt idx="89">
                  <c:v>6.6570670600000001</c:v>
                </c:pt>
                <c:pt idx="90">
                  <c:v>6.2125568390000003</c:v>
                </c:pt>
                <c:pt idx="91">
                  <c:v>6.3216133120000002</c:v>
                </c:pt>
                <c:pt idx="92">
                  <c:v>6.4640998840000004</c:v>
                </c:pt>
                <c:pt idx="93">
                  <c:v>6.9526078699999996</c:v>
                </c:pt>
                <c:pt idx="94">
                  <c:v>6.5360381600000004</c:v>
                </c:pt>
                <c:pt idx="95">
                  <c:v>6.4418456549999998</c:v>
                </c:pt>
                <c:pt idx="96">
                  <c:v>6.6429960729999999</c:v>
                </c:pt>
                <c:pt idx="97">
                  <c:v>6.6894741059999996</c:v>
                </c:pt>
                <c:pt idx="98">
                  <c:v>6.5679318899999997</c:v>
                </c:pt>
                <c:pt idx="99">
                  <c:v>6.5680973529999997</c:v>
                </c:pt>
                <c:pt idx="100">
                  <c:v>7.4147675040000003</c:v>
                </c:pt>
                <c:pt idx="101">
                  <c:v>8.6537437439999998</c:v>
                </c:pt>
                <c:pt idx="102">
                  <c:v>7.6899871830000004</c:v>
                </c:pt>
                <c:pt idx="103">
                  <c:v>7.6496624950000003</c:v>
                </c:pt>
                <c:pt idx="104">
                  <c:v>7.442036152</c:v>
                </c:pt>
                <c:pt idx="105">
                  <c:v>8.0239069460000003</c:v>
                </c:pt>
                <c:pt idx="106">
                  <c:v>7.446475983</c:v>
                </c:pt>
                <c:pt idx="107">
                  <c:v>7.5686633590000003</c:v>
                </c:pt>
                <c:pt idx="108">
                  <c:v>7.5001966949999996</c:v>
                </c:pt>
                <c:pt idx="109">
                  <c:v>7.4747719760000004</c:v>
                </c:pt>
                <c:pt idx="110">
                  <c:v>7.5682723520000001</c:v>
                </c:pt>
                <c:pt idx="111">
                  <c:v>7.4498579500000002</c:v>
                </c:pt>
                <c:pt idx="112">
                  <c:v>7.3102493290000004</c:v>
                </c:pt>
                <c:pt idx="113">
                  <c:v>7.3111977579999996</c:v>
                </c:pt>
                <c:pt idx="114">
                  <c:v>7.3789258000000002</c:v>
                </c:pt>
                <c:pt idx="115">
                  <c:v>7.2252101900000003</c:v>
                </c:pt>
                <c:pt idx="116">
                  <c:v>6.9665367600000003</c:v>
                </c:pt>
                <c:pt idx="117">
                  <c:v>6.9948370459999998</c:v>
                </c:pt>
                <c:pt idx="118">
                  <c:v>7.3957817549999998</c:v>
                </c:pt>
                <c:pt idx="119">
                  <c:v>6.9910008909999997</c:v>
                </c:pt>
                <c:pt idx="120">
                  <c:v>7.1560714240000003</c:v>
                </c:pt>
                <c:pt idx="121">
                  <c:v>7.4678587910000003</c:v>
                </c:pt>
                <c:pt idx="122">
                  <c:v>7.3694059850000002</c:v>
                </c:pt>
                <c:pt idx="123">
                  <c:v>7.5954434869999998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25-4D7E-9A15-C37373BD3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553776"/>
        <c:axId val="1516559600"/>
      </c:scatterChart>
      <c:valAx>
        <c:axId val="16999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Simulation Time (sec)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96832"/>
        <c:crosses val="autoZero"/>
        <c:crossBetween val="midCat"/>
      </c:valAx>
      <c:valAx>
        <c:axId val="169999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Number of Quantum</a:t>
                </a:r>
                <a:r>
                  <a:rPr lang="en-US" altLang="zh-CN" sz="1200" baseline="0"/>
                  <a:t> Gates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986848"/>
        <c:crosses val="autoZero"/>
        <c:crossBetween val="midCat"/>
      </c:valAx>
      <c:valAx>
        <c:axId val="1516559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Real Time (sec)</a:t>
                </a:r>
                <a:endParaRPr lang="zh-CN" alt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53776"/>
        <c:crosses val="max"/>
        <c:crossBetween val="midCat"/>
      </c:valAx>
      <c:valAx>
        <c:axId val="151655377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16559600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380404917049037"/>
          <c:y val="0.16482580304265074"/>
          <c:w val="0.19795221896016352"/>
          <c:h val="0.1483467289623447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Real Compute Time </a:t>
            </a:r>
            <a:r>
              <a:rPr kumimoji="0" lang="en-US" altLang="zh-CN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等线" panose="02010600030101010101" pitchFamily="2" charset="-122"/>
              </a:rPr>
              <a:t>per Trials vs. Total gates</a:t>
            </a:r>
          </a:p>
        </cx:rich>
      </cx:tx>
    </cx:title>
    <cx:plotArea>
      <cx:plotAreaRegion>
        <cx:series layoutId="boxWhisker" uniqueId="{0C32C198-991F-4007-9CD2-716522876416}">
          <cx:tx>
            <cx:txData>
              <cx:f>_xlchart.1</cx:f>
              <cx:v>real time per trials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400" baseline="0"/>
                </a:pPr>
                <a:r>
                  <a:rPr lang="en-US" sz="1400" baseline="0"/>
                  <a:t>Number of Gate</a:t>
                </a:r>
              </a:p>
            </cx:rich>
          </cx:tx>
        </cx:title>
        <cx:majorGridlines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400" baseline="0"/>
                </a:pPr>
                <a:r>
                  <a:rPr lang="en-US" sz="1400" baseline="0"/>
                  <a:t>Real Time per Trial (sec)</a:t>
                </a:r>
              </a:p>
            </cx:rich>
          </cx:tx>
        </cx:title>
        <cx:majorGridlines/>
        <cx:tickLabels/>
      </cx:axis>
    </cx:plotArea>
    <cx:legend pos="r" align="ctr" overlay="1">
      <cx:txPr>
        <a:bodyPr spcFirstLastPara="1" vertOverflow="ellipsis" wrap="square" lIns="0" tIns="0" rIns="0" bIns="0" anchor="ctr" anchorCtr="1"/>
        <a:lstStyle/>
        <a:p>
          <a:pPr>
            <a:defRPr sz="1400" baseline="0"/>
          </a:pPr>
          <a:endParaRPr lang="en-US" sz="1400" baseline="0"/>
        </a:p>
      </cx:txPr>
    </cx:legend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hart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_xlchart.6</cx:f>
      </cx:strDim>
      <cx:numDim type="val">
        <cx:f>_xlchart.8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Sim./Real Compute Time </a:t>
            </a:r>
            <a:r>
              <a:rPr kumimoji="0" lang="en-US" altLang="zh-CN" sz="18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等线" panose="02010600030101010101" pitchFamily="2" charset="-122"/>
              </a:rPr>
              <a:t>vs. Total gates</a:t>
            </a:r>
          </a:p>
        </cx:rich>
      </cx:tx>
    </cx:title>
    <cx:plotArea>
      <cx:plotAreaRegion>
        <cx:series layoutId="boxWhisker" uniqueId="{9CD1290D-F133-4F39-9F30-A8455F0BBF5A}">
          <cx:tx>
            <cx:txData>
              <cx:f>_xlchart.7</cx:f>
              <cx:v>Real Time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400" baseline="0"/>
                </a:pPr>
                <a:r>
                  <a:rPr lang="en-US" sz="1400" baseline="0"/>
                  <a:t>Number of Gate</a:t>
                </a:r>
              </a:p>
            </cx:rich>
          </cx:tx>
        </cx:title>
        <cx:majorGridlines/>
        <cx:tickLabels/>
      </cx:axis>
      <cx:axis id="1">
        <cx:val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400" baseline="0"/>
                </a:pPr>
                <a:r>
                  <a:rPr lang="en-US" sz="1400" baseline="0"/>
                  <a:t>Real Time per Trial (sec)</a:t>
                </a:r>
              </a:p>
            </cx:rich>
          </cx:tx>
        </cx:title>
        <cx:majorGridlines/>
        <cx:tickLabels/>
      </cx:axis>
    </cx:plotArea>
    <cx:legend pos="r" align="ctr" overlay="1">
      <cx:txPr>
        <a:bodyPr spcFirstLastPara="1" vertOverflow="ellipsis" wrap="square" lIns="0" tIns="0" rIns="0" bIns="0" anchor="ctr" anchorCtr="1"/>
        <a:lstStyle/>
        <a:p>
          <a:pPr>
            <a:defRPr sz="1400" baseline="0"/>
          </a:pPr>
          <a:endParaRPr lang="en-US" sz="1400" baseline="0"/>
        </a:p>
      </cx:txPr>
    </cx:legend>
  </cx:chart>
  <cx:spPr>
    <a:ln>
      <a:noFill/>
    </a:ln>
  </cx:spPr>
</cx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DJ Quantum Computing Error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'dj-error'!$B$1</c:f>
              <c:strCache>
                <c:ptCount val="1"/>
                <c:pt idx="0">
                  <c:v>Avg. Hamming 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A0-4033-A794-628741773F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A0-4033-A794-628741773F3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A0-4033-A794-628741773F3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A0-4033-A794-628741773F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'dj-error'!$A$2:$A$15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'dj-error'!$B$2:$B$15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1.2727272727272727</c:v>
                </c:pt>
                <c:pt idx="5" formatCode="0.00">
                  <c:v>1.3636363636363635</c:v>
                </c:pt>
                <c:pt idx="6" formatCode="0.00">
                  <c:v>1.2727272727272727</c:v>
                </c:pt>
                <c:pt idx="7" formatCode="0.00">
                  <c:v>1.2727272727272727</c:v>
                </c:pt>
                <c:pt idx="8" formatCode="0.00">
                  <c:v>2.1818181818181817</c:v>
                </c:pt>
                <c:pt idx="9" formatCode="0.00">
                  <c:v>2.2727272727272729</c:v>
                </c:pt>
                <c:pt idx="10" formatCode="0.00">
                  <c:v>2.1818181818181817</c:v>
                </c:pt>
                <c:pt idx="11" formatCode="0.00">
                  <c:v>3.1818181818181817</c:v>
                </c:pt>
                <c:pt idx="12" formatCode="0.00">
                  <c:v>3.9090909090909092</c:v>
                </c:pt>
                <c:pt idx="13" formatCode="0.00">
                  <c:v>4.5454545454545459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948-9E37-4D35E5F41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768111"/>
        <c:axId val="2045765615"/>
      </c:scatterChart>
      <c:scatterChart>
        <c:scatterStyle val="smoothMarker"/>
        <c:varyColors val="0"/>
        <c:ser>
          <c:idx val="1"/>
          <c:order val="1"/>
          <c:tx>
            <c:strRef>
              <c:f>'dj-error'!$C$1</c:f>
              <c:strCache>
                <c:ptCount val="1"/>
                <c:pt idx="0">
                  <c:v>Per Bit 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'dj-error'!$A$2:$A$15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'dj-error'!$C$2:$C$15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0.25454545454545452</c:v>
                </c:pt>
                <c:pt idx="5" formatCode="0.00">
                  <c:v>0.22727272727272727</c:v>
                </c:pt>
                <c:pt idx="6" formatCode="0.00">
                  <c:v>0.18181818181818182</c:v>
                </c:pt>
                <c:pt idx="7" formatCode="0.00">
                  <c:v>0.15909090909090909</c:v>
                </c:pt>
                <c:pt idx="8" formatCode="0.00">
                  <c:v>0.2424242424242424</c:v>
                </c:pt>
                <c:pt idx="9" formatCode="0.00">
                  <c:v>0.22727272727272729</c:v>
                </c:pt>
                <c:pt idx="10" formatCode="0.00">
                  <c:v>0.19834710743801651</c:v>
                </c:pt>
                <c:pt idx="11" formatCode="0.00">
                  <c:v>0.26515151515151514</c:v>
                </c:pt>
                <c:pt idx="12" formatCode="0.00">
                  <c:v>0.30069930069930073</c:v>
                </c:pt>
                <c:pt idx="13" formatCode="0.00">
                  <c:v>0.32467532467532473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948-9E37-4D35E5F41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08848"/>
        <c:axId val="1967407600"/>
      </c:scatterChart>
      <c:valAx>
        <c:axId val="204576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 of Quantum Bits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65615"/>
        <c:crosses val="autoZero"/>
        <c:crossBetween val="midCat"/>
        <c:majorUnit val="1"/>
      </c:valAx>
      <c:valAx>
        <c:axId val="20457656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Avg. Hamming Distance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68111"/>
        <c:crosses val="autoZero"/>
        <c:crossBetween val="midCat"/>
      </c:valAx>
      <c:valAx>
        <c:axId val="196740760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Per Bit Error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08848"/>
        <c:crosses val="max"/>
        <c:crossBetween val="midCat"/>
      </c:valAx>
      <c:valAx>
        <c:axId val="196740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740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219307900115779"/>
          <c:y val="0.19054277231227978"/>
          <c:w val="0.29390983394641024"/>
          <c:h val="0.1557594338954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BV Quantum Computing Error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'bv-error'!$B$21</c:f>
              <c:strCache>
                <c:ptCount val="1"/>
                <c:pt idx="0">
                  <c:v>Avg. Hamming 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1790314921488E-2"/>
                  <c:y val="-3.47985247717538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463-4545-BA26-4513640772F0}"/>
                </c:ext>
              </c:extLst>
            </c:dLbl>
            <c:dLbl>
              <c:idx val="1"/>
              <c:layout>
                <c:manualLayout>
                  <c:x val="-2.7179031492148824E-2"/>
                  <c:y val="-3.01633444833143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463-4545-BA26-4513640772F0}"/>
                </c:ext>
              </c:extLst>
            </c:dLbl>
            <c:dLbl>
              <c:idx val="2"/>
              <c:layout>
                <c:manualLayout>
                  <c:x val="-2.71790314921488E-2"/>
                  <c:y val="-3.94337050601934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463-4545-BA26-4513640772F0}"/>
                </c:ext>
              </c:extLst>
            </c:dLbl>
            <c:dLbl>
              <c:idx val="3"/>
              <c:layout>
                <c:manualLayout>
                  <c:x val="-2.7136563876651983E-2"/>
                  <c:y val="-4.40161125692621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463-4545-BA26-4513640772F0}"/>
                </c:ext>
              </c:extLst>
            </c:dLbl>
            <c:dLbl>
              <c:idx val="9"/>
              <c:layout>
                <c:manualLayout>
                  <c:x val="-2.6446939824280816E-2"/>
                  <c:y val="5.33338449114421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5463-4545-BA26-4513640772F0}"/>
                </c:ext>
              </c:extLst>
            </c:dLbl>
            <c:dLbl>
              <c:idx val="10"/>
              <c:layout>
                <c:manualLayout>
                  <c:x val="-4.1595488038710306E-2"/>
                  <c:y val="-4.8762529096004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463-4545-BA26-4513640772F0}"/>
                </c:ext>
              </c:extLst>
            </c:dLbl>
            <c:dLbl>
              <c:idx val="11"/>
              <c:layout>
                <c:manualLayout>
                  <c:x val="-4.1595488038710306E-2"/>
                  <c:y val="-5.80440176421365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5463-4545-BA26-4513640772F0}"/>
                </c:ext>
              </c:extLst>
            </c:dLbl>
            <c:dLbl>
              <c:idx val="12"/>
              <c:layout>
                <c:manualLayout>
                  <c:x val="-4.1595488038710306E-2"/>
                  <c:y val="-4.87625290960049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5463-4545-BA26-4513640772F0}"/>
                </c:ext>
              </c:extLst>
            </c:dLbl>
            <c:dLbl>
              <c:idx val="13"/>
              <c:layout>
                <c:manualLayout>
                  <c:x val="-4.1595488038710306E-2"/>
                  <c:y val="-3.9481040549873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5463-4545-BA26-4513640772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'bv-error'!$A$22:$A$35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'bv-error'!$B$22:$B$35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0.7</c:v>
                </c:pt>
                <c:pt idx="6">
                  <c:v>1.1000000000000001</c:v>
                </c:pt>
                <c:pt idx="7">
                  <c:v>1.7</c:v>
                </c:pt>
                <c:pt idx="8">
                  <c:v>1.9</c:v>
                </c:pt>
                <c:pt idx="9">
                  <c:v>3.1</c:v>
                </c:pt>
                <c:pt idx="10">
                  <c:v>4.2</c:v>
                </c:pt>
                <c:pt idx="11">
                  <c:v>3.5</c:v>
                </c:pt>
                <c:pt idx="12">
                  <c:v>3.4</c:v>
                </c:pt>
                <c:pt idx="1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63-4545-BA26-451364077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768111"/>
        <c:axId val="2045765615"/>
      </c:scatterChart>
      <c:scatterChart>
        <c:scatterStyle val="smoothMarker"/>
        <c:varyColors val="0"/>
        <c:ser>
          <c:idx val="1"/>
          <c:order val="1"/>
          <c:tx>
            <c:strRef>
              <c:f>'bv-error'!$C$21</c:f>
              <c:strCache>
                <c:ptCount val="1"/>
                <c:pt idx="0">
                  <c:v>Per Bit 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463-4545-BA26-4513640772F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463-4545-BA26-4513640772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463-4545-BA26-4513640772F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463-4545-BA26-4513640772F0}"/>
                </c:ext>
              </c:extLst>
            </c:dLbl>
            <c:dLbl>
              <c:idx val="10"/>
              <c:layout>
                <c:manualLayout>
                  <c:x val="-4.1595488038710306E-2"/>
                  <c:y val="6.73255061882680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463-4545-BA26-4513640772F0}"/>
                </c:ext>
              </c:extLst>
            </c:dLbl>
            <c:dLbl>
              <c:idx val="11"/>
              <c:layout>
                <c:manualLayout>
                  <c:x val="-4.4120246074448553E-2"/>
                  <c:y val="4.41217848229391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463-4545-BA26-4513640772F0}"/>
                </c:ext>
              </c:extLst>
            </c:dLbl>
            <c:dLbl>
              <c:idx val="12"/>
              <c:layout>
                <c:manualLayout>
                  <c:x val="-4.1595488038710306E-2"/>
                  <c:y val="4.87625290960049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5463-4545-BA26-4513640772F0}"/>
                </c:ext>
              </c:extLst>
            </c:dLbl>
            <c:dLbl>
              <c:idx val="13"/>
              <c:layout>
                <c:manualLayout>
                  <c:x val="-4.1595488038710306E-2"/>
                  <c:y val="5.34032733690706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5463-4545-BA26-4513640772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'bv-error'!$A$22:$A$35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'bv-error'!$C$22:$C$35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0.11666666666666665</c:v>
                </c:pt>
                <c:pt idx="6">
                  <c:v>0.15714285714285717</c:v>
                </c:pt>
                <c:pt idx="7">
                  <c:v>0.21249999999999999</c:v>
                </c:pt>
                <c:pt idx="8">
                  <c:v>0.21111111111111111</c:v>
                </c:pt>
                <c:pt idx="9">
                  <c:v>0.31</c:v>
                </c:pt>
                <c:pt idx="10">
                  <c:v>0.38181818181818183</c:v>
                </c:pt>
                <c:pt idx="11">
                  <c:v>0.29166666666666669</c:v>
                </c:pt>
                <c:pt idx="12">
                  <c:v>0.26153846153846155</c:v>
                </c:pt>
                <c:pt idx="13">
                  <c:v>0.2857142857142857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63-4545-BA26-451364077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08848"/>
        <c:axId val="1967407600"/>
      </c:scatterChart>
      <c:valAx>
        <c:axId val="204576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Number of Quantum Bits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65615"/>
        <c:crosses val="autoZero"/>
        <c:crossBetween val="midCat"/>
        <c:majorUnit val="1"/>
      </c:valAx>
      <c:valAx>
        <c:axId val="20457656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Avg. Hamming Distance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68111"/>
        <c:crosses val="autoZero"/>
        <c:crossBetween val="midCat"/>
      </c:valAx>
      <c:valAx>
        <c:axId val="196740760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Per Bit Error</a:t>
                </a:r>
                <a:r>
                  <a:rPr lang="en-US" sz="1000" b="0" i="0" u="none" strike="noStrike" baseline="0"/>
                  <a:t> 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08848"/>
        <c:crosses val="max"/>
        <c:crossBetween val="midCat"/>
      </c:valAx>
      <c:valAx>
        <c:axId val="196740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740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79930882126392"/>
          <c:y val="0.20444831317759857"/>
          <c:w val="0.35561654293032963"/>
          <c:h val="0.1564384296593142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307974</xdr:colOff>
      <xdr:row>6</xdr:row>
      <xdr:rowOff>171450</xdr:rowOff>
    </xdr:from>
    <xdr:to>
      <xdr:col>26</xdr:col>
      <xdr:colOff>57149</xdr:colOff>
      <xdr:row>25</xdr:row>
      <xdr:rowOff>25400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25011</xdr:colOff>
      <xdr:row>31</xdr:row>
      <xdr:rowOff>167691</xdr:rowOff>
    </xdr:from>
    <xdr:to>
      <xdr:col>36</xdr:col>
      <xdr:colOff>386961</xdr:colOff>
      <xdr:row>50</xdr:row>
      <xdr:rowOff>24363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207476</xdr:colOff>
      <xdr:row>31</xdr:row>
      <xdr:rowOff>174301</xdr:rowOff>
    </xdr:from>
    <xdr:to>
      <xdr:col>25</xdr:col>
      <xdr:colOff>568908</xdr:colOff>
      <xdr:row>50</xdr:row>
      <xdr:rowOff>30973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57150</xdr:colOff>
      <xdr:row>7</xdr:row>
      <xdr:rowOff>0</xdr:rowOff>
    </xdr:from>
    <xdr:to>
      <xdr:col>36</xdr:col>
      <xdr:colOff>415925</xdr:colOff>
      <xdr:row>25</xdr:row>
      <xdr:rowOff>38100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376226</xdr:colOff>
      <xdr:row>3</xdr:row>
      <xdr:rowOff>82120</xdr:rowOff>
    </xdr:from>
    <xdr:to>
      <xdr:col>27</xdr:col>
      <xdr:colOff>125401</xdr:colOff>
      <xdr:row>21</xdr:row>
      <xdr:rowOff>117499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24484</xdr:colOff>
      <xdr:row>22</xdr:row>
      <xdr:rowOff>56426</xdr:rowOff>
    </xdr:from>
    <xdr:to>
      <xdr:col>37</xdr:col>
      <xdr:colOff>384226</xdr:colOff>
      <xdr:row>40</xdr:row>
      <xdr:rowOff>95315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139607</xdr:colOff>
      <xdr:row>3</xdr:row>
      <xdr:rowOff>96278</xdr:rowOff>
    </xdr:from>
    <xdr:to>
      <xdr:col>37</xdr:col>
      <xdr:colOff>496174</xdr:colOff>
      <xdr:row>21</xdr:row>
      <xdr:rowOff>131657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268371</xdr:colOff>
      <xdr:row>22</xdr:row>
      <xdr:rowOff>128003</xdr:rowOff>
    </xdr:from>
    <xdr:to>
      <xdr:col>27</xdr:col>
      <xdr:colOff>18513</xdr:colOff>
      <xdr:row>40</xdr:row>
      <xdr:rowOff>166892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577850</xdr:colOff>
      <xdr:row>42</xdr:row>
      <xdr:rowOff>19050</xdr:rowOff>
    </xdr:from>
    <xdr:to>
      <xdr:col>32</xdr:col>
      <xdr:colOff>527050</xdr:colOff>
      <xdr:row>60</xdr:row>
      <xdr:rowOff>57939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7" name="图表 6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17</xdr:col>
      <xdr:colOff>25400</xdr:colOff>
      <xdr:row>42</xdr:row>
      <xdr:rowOff>25400</xdr:rowOff>
    </xdr:from>
    <xdr:to>
      <xdr:col>24</xdr:col>
      <xdr:colOff>577850</xdr:colOff>
      <xdr:row>60</xdr:row>
      <xdr:rowOff>64289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8" name="图表 7"/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530224</xdr:colOff>
      <xdr:row>16</xdr:row>
      <xdr:rowOff>133350</xdr:rowOff>
    </xdr:from>
    <xdr:to>
      <xdr:col>13</xdr:col>
      <xdr:colOff>88899</xdr:colOff>
      <xdr:row>31</xdr:row>
      <xdr:rowOff>114300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347498</xdr:colOff>
      <xdr:row>10</xdr:row>
      <xdr:rowOff>134664</xdr:rowOff>
    </xdr:from>
    <xdr:to>
      <xdr:col>13</xdr:col>
      <xdr:colOff>507890</xdr:colOff>
      <xdr:row>25</xdr:row>
      <xdr:rowOff>112328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v_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hao Liu" refreshedDate="43992.700622685188" createdVersion="6" refreshedVersion="6" minRefreshableVersion="3" recordCount="125">
  <cacheSource type="worksheet">
    <worksheetSource ref="A1:O1048576" sheet="bv_data" r:id="rId2"/>
  </cacheSource>
  <cacheFields count="15">
    <cacheField name="num_qubits" numFmtId="0">
      <sharedItems containsString="0" containsBlank="1" containsNumber="1" containsInteger="1" minValue="1" maxValue="14" count="15"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num_x_gate" numFmtId="0">
      <sharedItems containsString="0" containsBlank="1" containsNumber="1" containsInteger="1" minValue="1" maxValue="1"/>
    </cacheField>
    <cacheField name="num_h_gate" numFmtId="0">
      <sharedItems containsString="0" containsBlank="1" containsNumber="1" containsInteger="1" minValue="3" maxValue="29"/>
    </cacheField>
    <cacheField name="num_i_gate" numFmtId="0">
      <sharedItems containsString="0" containsBlank="1" containsNumber="1" containsInteger="1" minValue="0" maxValue="9"/>
    </cacheField>
    <cacheField name="num_cnot_gate" numFmtId="0">
      <sharedItems containsString="0" containsBlank="1" containsNumber="1" containsInteger="1" minValue="0" maxValue="10"/>
    </cacheField>
    <cacheField name="num_total_gate" numFmtId="0">
      <sharedItems containsString="0" containsBlank="1" containsNumber="1" containsInteger="1" minValue="5" maxValue="44"/>
    </cacheField>
    <cacheField name="real_time" numFmtId="0">
      <sharedItems containsString="0" containsBlank="1" containsNumber="1" minValue="6.2125568389999897" maxValue="30.692770960000001"/>
    </cacheField>
    <cacheField name="sim_time" numFmtId="0">
      <sharedItems containsString="0" containsBlank="1" containsNumber="1" minValue="1.098871E-3" maxValue="4.0729049999999999E-3"/>
    </cacheField>
    <cacheField name="answer" numFmtId="0">
      <sharedItems containsString="0" containsBlank="1" containsNumber="1" containsInteger="1" minValue="0" maxValue="11011000000000"/>
    </cacheField>
    <cacheField name="real_result" numFmtId="0">
      <sharedItems containsString="0" containsBlank="1" containsNumber="1" containsInteger="1" minValue="0" maxValue="10101000000000"/>
    </cacheField>
    <cacheField name="sim_result" numFmtId="0">
      <sharedItems containsString="0" containsBlank="1" containsNumber="1" containsInteger="1" minValue="0" maxValue="11011000000000"/>
    </cacheField>
    <cacheField name="backand_name" numFmtId="0">
      <sharedItems containsBlank="1"/>
    </cacheField>
    <cacheField name="trials" numFmtId="0">
      <sharedItems containsString="0" containsBlank="1" containsNumber="1" containsInteger="1" minValue="1024" maxValue="8192"/>
    </cacheField>
    <cacheField name="pertrialtime" numFmtId="0">
      <sharedItems containsString="0" containsBlank="1" containsNumber="1" minValue="3.0162769999999999E-3" maxValue="8.4509219999999996E-3"/>
    </cacheField>
    <cacheField name="hamming_dis" numFmtId="0">
      <sharedItems containsString="0" containsBlank="1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">
  <r>
    <x v="0"/>
    <n v="1"/>
    <n v="29"/>
    <n v="6"/>
    <n v="8"/>
    <n v="44"/>
    <n v="30.14717078"/>
    <n v="3.8750170000000001E-3"/>
    <n v="1100110000000"/>
    <n v="100"/>
    <n v="1100110000000"/>
    <s v="ibmq_16_melbourne"/>
    <n v="8192"/>
    <n v="3.6800750000000001E-3"/>
    <n v="5"/>
  </r>
  <r>
    <x v="0"/>
    <n v="1"/>
    <n v="29"/>
    <n v="7"/>
    <n v="7"/>
    <n v="44"/>
    <n v="28.47961879"/>
    <n v="2.727747E-3"/>
    <n v="1011010000000"/>
    <n v="10000100000000"/>
    <n v="1011010000000"/>
    <s v="ibmq_16_melbourne"/>
    <n v="8192"/>
    <n v="3.4765159999999998E-3"/>
    <n v="6"/>
  </r>
  <r>
    <x v="0"/>
    <n v="1"/>
    <n v="29"/>
    <n v="6"/>
    <n v="8"/>
    <n v="44"/>
    <n v="29.175038099999998"/>
    <n v="2.9675959999999999E-3"/>
    <n v="10001100000000"/>
    <n v="1000100000"/>
    <n v="10001100000000"/>
    <s v="ibmq_16_melbourne"/>
    <n v="8192"/>
    <n v="3.5614059999999901E-3"/>
    <n v="3"/>
  </r>
  <r>
    <x v="0"/>
    <n v="1"/>
    <n v="29"/>
    <n v="4"/>
    <n v="10"/>
    <n v="44"/>
    <n v="30.255591150000001"/>
    <n v="2.8932089999999999E-3"/>
    <n v="10111000000000"/>
    <n v="1000000100"/>
    <n v="10111000000000"/>
    <s v="ibmq_16_melbourne"/>
    <n v="8192"/>
    <n v="3.6933090000000001E-3"/>
    <n v="4"/>
  </r>
  <r>
    <x v="0"/>
    <n v="1"/>
    <n v="29"/>
    <n v="6"/>
    <n v="8"/>
    <n v="44"/>
    <n v="30.11348271"/>
    <n v="4.0729049999999999E-3"/>
    <n v="10101100000000"/>
    <n v="10101000000000"/>
    <n v="10101100000000"/>
    <s v="ibmq_16_melbourne"/>
    <n v="8192"/>
    <n v="3.6759620000000001E-3"/>
    <n v="1"/>
  </r>
  <r>
    <x v="0"/>
    <n v="1"/>
    <n v="29"/>
    <n v="9"/>
    <n v="5"/>
    <n v="44"/>
    <n v="30.692770960000001"/>
    <n v="3.9420130000000003E-3"/>
    <n v="10001000000000"/>
    <n v="10011001"/>
    <n v="10001000000000"/>
    <s v="ibmq_16_melbourne"/>
    <n v="8192"/>
    <n v="3.74667599999999E-3"/>
    <n v="6"/>
  </r>
  <r>
    <x v="0"/>
    <n v="1"/>
    <n v="29"/>
    <n v="5"/>
    <n v="9"/>
    <n v="44"/>
    <n v="29.121488329999998"/>
    <n v="2.9430390000000002E-3"/>
    <n v="1111010000000"/>
    <n v="101000"/>
    <n v="1111010000000"/>
    <s v="ibmq_16_melbourne"/>
    <n v="8192"/>
    <n v="3.554869E-3"/>
    <n v="7"/>
  </r>
  <r>
    <x v="0"/>
    <n v="1"/>
    <n v="29"/>
    <n v="4"/>
    <n v="10"/>
    <n v="44"/>
    <n v="28.54795623"/>
    <n v="2.779007E-3"/>
    <n v="11011000000000"/>
    <n v="10010000000000"/>
    <n v="11011000000000"/>
    <s v="ibmq_16_melbourne"/>
    <n v="8192"/>
    <n v="3.484858E-3"/>
    <n v="2"/>
  </r>
  <r>
    <x v="0"/>
    <n v="1"/>
    <n v="29"/>
    <n v="9"/>
    <n v="5"/>
    <n v="44"/>
    <n v="26.65574694"/>
    <n v="3.4730429999999999E-3"/>
    <n v="11100101"/>
    <n v="10000001"/>
    <n v="11100101"/>
    <s v="ibmq_16_melbourne"/>
    <n v="8192"/>
    <n v="3.2538749999999998E-3"/>
    <n v="3"/>
  </r>
  <r>
    <x v="0"/>
    <n v="1"/>
    <n v="29"/>
    <n v="8"/>
    <n v="6"/>
    <n v="44"/>
    <n v="29.031023980000001"/>
    <n v="3.4079549999999998E-3"/>
    <n v="10100000000000"/>
    <n v="100000"/>
    <n v="10100000000000"/>
    <s v="ibmq_16_melbourne"/>
    <n v="8192"/>
    <n v="3.5438259999999999E-3"/>
    <n v="3"/>
  </r>
  <r>
    <x v="1"/>
    <n v="1"/>
    <n v="27"/>
    <n v="3"/>
    <n v="10"/>
    <n v="41"/>
    <n v="26.565763239999999"/>
    <n v="2.704859E-3"/>
    <n v="1011110000000"/>
    <n v="1000010000000"/>
    <n v="1011110000000"/>
    <s v="ibmq_16_melbourne"/>
    <n v="8192"/>
    <n v="3.2428909999999999E-3"/>
    <n v="3"/>
  </r>
  <r>
    <x v="1"/>
    <n v="1"/>
    <n v="27"/>
    <n v="5"/>
    <n v="8"/>
    <n v="41"/>
    <n v="26.4721426999999"/>
    <n v="2.6686190000000001E-3"/>
    <n v="1100010000000"/>
    <n v="10001010"/>
    <n v="1100010000000"/>
    <s v="ibmq_16_melbourne"/>
    <n v="8192"/>
    <n v="3.231463E-3"/>
    <n v="4"/>
  </r>
  <r>
    <x v="1"/>
    <n v="1"/>
    <n v="27"/>
    <n v="6"/>
    <n v="7"/>
    <n v="41"/>
    <n v="27.19186354"/>
    <n v="3.50666E-3"/>
    <n v="11001111100"/>
    <n v="100000"/>
    <n v="11001111100"/>
    <s v="ibmq_16_melbourne"/>
    <n v="8192"/>
    <n v="3.3193189999999998E-3"/>
    <n v="6"/>
  </r>
  <r>
    <x v="1"/>
    <n v="1"/>
    <n v="27"/>
    <n v="5"/>
    <n v="8"/>
    <n v="41"/>
    <n v="26.56590486"/>
    <n v="3.3743379999999902E-3"/>
    <n v="101110000000"/>
    <n v="100110000000"/>
    <n v="101110000000"/>
    <s v="ibmq_16_melbourne"/>
    <n v="8192"/>
    <n v="3.2429080000000001E-3"/>
    <n v="1"/>
  </r>
  <r>
    <x v="1"/>
    <n v="1"/>
    <n v="27"/>
    <n v="4"/>
    <n v="9"/>
    <n v="41"/>
    <n v="26.904042480000001"/>
    <n v="2.6285649999999998E-3"/>
    <n v="1101100000000"/>
    <n v="1000000000000"/>
    <n v="1101100000000"/>
    <s v="ibmq_16_melbourne"/>
    <n v="8192"/>
    <n v="3.2841849999999998E-3"/>
    <n v="3"/>
  </r>
  <r>
    <x v="1"/>
    <n v="1"/>
    <n v="27"/>
    <n v="8"/>
    <n v="5"/>
    <n v="41"/>
    <n v="29.15143037"/>
    <n v="3.5362240000000001E-3"/>
    <n v="1110100000000"/>
    <n v="1110000000000"/>
    <n v="1110100000000"/>
    <s v="ibmq_16_melbourne"/>
    <n v="8192"/>
    <n v="3.558524E-3"/>
    <n v="1"/>
  </r>
  <r>
    <x v="1"/>
    <n v="1"/>
    <n v="27"/>
    <n v="7"/>
    <n v="6"/>
    <n v="41"/>
    <n v="28.788931130000002"/>
    <n v="3.391504E-3"/>
    <n v="11001110010"/>
    <n v="10"/>
    <n v="11001110010"/>
    <s v="ibmq_16_melbourne"/>
    <n v="8192"/>
    <n v="3.514274E-3"/>
    <n v="5"/>
  </r>
  <r>
    <x v="1"/>
    <n v="1"/>
    <n v="27"/>
    <n v="6"/>
    <n v="7"/>
    <n v="41"/>
    <n v="28.248757600000001"/>
    <n v="2.7918819999999999E-3"/>
    <n v="1100110000000"/>
    <n v="1100000000000"/>
    <n v="1100110000000"/>
    <s v="ibmq_16_melbourne"/>
    <n v="8192"/>
    <n v="3.4483349999999999E-3"/>
    <n v="2"/>
  </r>
  <r>
    <x v="1"/>
    <n v="1"/>
    <n v="27"/>
    <n v="3"/>
    <n v="10"/>
    <n v="41"/>
    <n v="29.2057085"/>
    <n v="2.9077529999999999E-3"/>
    <n v="1111110000000"/>
    <n v="1000000110"/>
    <n v="1111110000000"/>
    <s v="ibmq_16_melbourne"/>
    <n v="8192"/>
    <n v="3.56515E-3"/>
    <n v="7"/>
  </r>
  <r>
    <x v="1"/>
    <n v="1"/>
    <n v="27"/>
    <n v="5"/>
    <n v="8"/>
    <n v="41"/>
    <n v="27.946083779999999"/>
    <n v="2.7847290000000001E-3"/>
    <n v="1111100000000"/>
    <n v="1110000000000"/>
    <n v="1111100000000"/>
    <s v="ibmq_16_melbourne"/>
    <n v="8192"/>
    <n v="3.4113870000000001E-3"/>
    <n v="2"/>
  </r>
  <r>
    <x v="2"/>
    <n v="1"/>
    <n v="25"/>
    <n v="3"/>
    <n v="9"/>
    <n v="38"/>
    <n v="26.951537850000001"/>
    <n v="3.428698E-3"/>
    <n v="110111000000"/>
    <n v="100001000000"/>
    <n v="110111000000"/>
    <s v="ibmq_16_melbourne"/>
    <n v="8192"/>
    <n v="3.2899829999999998E-3"/>
    <n v="3"/>
  </r>
  <r>
    <x v="2"/>
    <n v="1"/>
    <n v="25"/>
    <n v="7"/>
    <n v="5"/>
    <n v="38"/>
    <n v="27.55714321"/>
    <n v="3.3857819999999999E-3"/>
    <n v="101000000000"/>
    <n v="1000"/>
    <n v="101000000000"/>
    <s v="ibmq_16_melbourne"/>
    <n v="8192"/>
    <n v="3.363909E-3"/>
    <n v="3"/>
  </r>
  <r>
    <x v="2"/>
    <n v="1"/>
    <n v="25"/>
    <n v="5"/>
    <n v="7"/>
    <n v="38"/>
    <n v="26.003549580000001"/>
    <n v="3.3664699999999999E-3"/>
    <n v="110001000000"/>
    <n v="100001000"/>
    <n v="110001000000"/>
    <s v="ibmq_16_melbourne"/>
    <n v="8192"/>
    <n v="3.1742609999999998E-3"/>
    <n v="5"/>
  </r>
  <r>
    <x v="2"/>
    <n v="1"/>
    <n v="25"/>
    <n v="7"/>
    <n v="5"/>
    <n v="38"/>
    <n v="26.864634280000001"/>
    <n v="3.4334659999999901E-3"/>
    <n v="101010110"/>
    <n v="1010010"/>
    <n v="101010110"/>
    <s v="ibmq_16_melbourne"/>
    <n v="8192"/>
    <n v="3.2793739999999998E-3"/>
    <n v="2"/>
  </r>
  <r>
    <x v="2"/>
    <n v="1"/>
    <n v="25"/>
    <n v="6"/>
    <n v="6"/>
    <n v="38"/>
    <n v="26.715162280000001"/>
    <n v="3.237247E-3"/>
    <n v="1101101100"/>
    <n v="100000"/>
    <n v="1101101100"/>
    <s v="ibmq_16_melbourne"/>
    <n v="8192"/>
    <n v="3.2611279999999999E-3"/>
    <n v="5"/>
  </r>
  <r>
    <x v="2"/>
    <n v="1"/>
    <n v="25"/>
    <n v="6"/>
    <n v="6"/>
    <n v="38"/>
    <n v="26.56327319"/>
    <n v="3.2341480000000001E-3"/>
    <n v="111100011"/>
    <n v="100000"/>
    <n v="111100011"/>
    <s v="ibmq_16_melbourne"/>
    <n v="8192"/>
    <n v="3.2425869999999999E-3"/>
    <n v="5"/>
  </r>
  <r>
    <x v="2"/>
    <n v="1"/>
    <n v="25"/>
    <n v="6"/>
    <n v="6"/>
    <n v="38"/>
    <n v="26.630359649999999"/>
    <n v="2.4690630000000001E-3"/>
    <n v="101100000000"/>
    <n v="10000100"/>
    <n v="101100000000"/>
    <s v="ibmq_16_melbourne"/>
    <n v="8192"/>
    <n v="3.2507759999999999E-3"/>
    <n v="5"/>
  </r>
  <r>
    <x v="2"/>
    <n v="1"/>
    <n v="25"/>
    <n v="5"/>
    <n v="7"/>
    <n v="38"/>
    <n v="26.846008059999999"/>
    <n v="3.1392569999999999E-3"/>
    <n v="100110000000"/>
    <n v="100010000000"/>
    <n v="100110000000"/>
    <s v="ibmq_16_melbourne"/>
    <n v="8192"/>
    <n v="3.2771009999999902E-3"/>
    <n v="1"/>
  </r>
  <r>
    <x v="2"/>
    <n v="1"/>
    <n v="25"/>
    <n v="7"/>
    <n v="5"/>
    <n v="38"/>
    <n v="25.878809449999999"/>
    <n v="3.2508369999999999E-3"/>
    <n v="101010000000"/>
    <n v="10000000"/>
    <n v="101010000000"/>
    <s v="ibmq_16_melbourne"/>
    <n v="8192"/>
    <n v="3.1590339999999998E-3"/>
    <n v="2"/>
  </r>
  <r>
    <x v="2"/>
    <n v="1"/>
    <n v="25"/>
    <n v="4"/>
    <n v="8"/>
    <n v="38"/>
    <n v="26.115904329999999"/>
    <n v="3.1280520000000001E-3"/>
    <n v="110011000000"/>
    <n v="0"/>
    <n v="110011000000"/>
    <s v="ibmq_16_melbourne"/>
    <n v="8192"/>
    <n v="3.1879769999999998E-3"/>
    <n v="4"/>
  </r>
  <r>
    <x v="3"/>
    <n v="1"/>
    <n v="23"/>
    <n v="9"/>
    <n v="2"/>
    <n v="35"/>
    <n v="25.946331260000001"/>
    <n v="2.3114679999999901E-3"/>
    <n v="1010"/>
    <n v="1000"/>
    <n v="1010"/>
    <s v="ibmq_16_melbourne"/>
    <n v="8192"/>
    <n v="3.167277E-3"/>
    <n v="1"/>
  </r>
  <r>
    <x v="3"/>
    <n v="1"/>
    <n v="23"/>
    <n v="7"/>
    <n v="4"/>
    <n v="35"/>
    <n v="25.37124562"/>
    <n v="3.4782889999999999E-3"/>
    <n v="1001001001"/>
    <n v="11100000"/>
    <n v="1001001001"/>
    <s v="ibmq_16_melbourne"/>
    <n v="8192"/>
    <n v="3.0970759999999998E-3"/>
    <n v="5"/>
  </r>
  <r>
    <x v="3"/>
    <n v="1"/>
    <n v="23"/>
    <n v="6"/>
    <n v="5"/>
    <n v="35"/>
    <n v="25.9564147"/>
    <n v="2.6140209999999998E-3"/>
    <n v="1110000011"/>
    <n v="1"/>
    <n v="1110000011"/>
    <s v="ibmq_16_melbourne"/>
    <n v="8192"/>
    <n v="3.168508E-3"/>
    <n v="4"/>
  </r>
  <r>
    <x v="3"/>
    <n v="1"/>
    <n v="23"/>
    <n v="4"/>
    <n v="7"/>
    <n v="35"/>
    <n v="25.793041939999998"/>
    <n v="2.7422900000000001E-3"/>
    <n v="101111011"/>
    <n v="100100000"/>
    <n v="101111011"/>
    <s v="ibmq_16_melbourne"/>
    <n v="8192"/>
    <n v="3.1485649999999999E-3"/>
    <n v="5"/>
  </r>
  <r>
    <x v="3"/>
    <n v="1"/>
    <n v="23"/>
    <n v="4"/>
    <n v="7"/>
    <n v="35"/>
    <n v="25.846060749999999"/>
    <n v="2.533436E-3"/>
    <n v="1100111011"/>
    <n v="1100100000"/>
    <n v="1100111011"/>
    <s v="ibmq_16_melbourne"/>
    <n v="8192"/>
    <n v="3.1550369999999999E-3"/>
    <n v="4"/>
  </r>
  <r>
    <x v="3"/>
    <n v="1"/>
    <n v="23"/>
    <n v="6"/>
    <n v="5"/>
    <n v="35"/>
    <n v="25.561094050000001"/>
    <n v="2.635002E-3"/>
    <n v="11101010000"/>
    <n v="110100000"/>
    <n v="11101010000"/>
    <s v="ibmq_16_melbourne"/>
    <n v="8192"/>
    <n v="3.1202509999999901E-3"/>
    <n v="6"/>
  </r>
  <r>
    <x v="3"/>
    <n v="1"/>
    <n v="23"/>
    <n v="3"/>
    <n v="8"/>
    <n v="35"/>
    <n v="25.664440160000002"/>
    <n v="2.519369E-3"/>
    <n v="11110100111"/>
    <n v="1010"/>
    <n v="11110100111"/>
    <s v="ibmq_16_melbourne"/>
    <n v="8192"/>
    <n v="3.1328659999999898E-3"/>
    <n v="8"/>
  </r>
  <r>
    <x v="3"/>
    <n v="1"/>
    <n v="23"/>
    <n v="6"/>
    <n v="5"/>
    <n v="35"/>
    <n v="25.37683535"/>
    <n v="2.3775100000000002E-3"/>
    <n v="111110"/>
    <n v="10010010010"/>
    <n v="111110"/>
    <s v="ibmq_16_melbourne"/>
    <n v="8192"/>
    <n v="3.0977579999999999E-3"/>
    <n v="5"/>
  </r>
  <r>
    <x v="3"/>
    <n v="1"/>
    <n v="23"/>
    <n v="9"/>
    <n v="2"/>
    <n v="35"/>
    <n v="25.45975971"/>
    <n v="2.7422900000000001E-3"/>
    <n v="1001000"/>
    <n v="1000000"/>
    <n v="1001000"/>
    <s v="ibmq_16_melbourne"/>
    <n v="8192"/>
    <n v="3.1078809999999998E-3"/>
    <n v="1"/>
  </r>
  <r>
    <x v="3"/>
    <n v="1"/>
    <n v="23"/>
    <n v="7"/>
    <n v="4"/>
    <n v="35"/>
    <n v="25.445563790000001"/>
    <n v="2.5353429999999998E-3"/>
    <n v="10010011"/>
    <n v="111"/>
    <n v="10010011"/>
    <s v="ibmq_16_melbourne"/>
    <n v="8192"/>
    <n v="3.106148E-3"/>
    <n v="3"/>
  </r>
  <r>
    <x v="4"/>
    <n v="1"/>
    <n v="21"/>
    <n v="6"/>
    <n v="4"/>
    <n v="32"/>
    <n v="25.620198729999998"/>
    <n v="2.2988319999999998E-3"/>
    <n v="10010101"/>
    <n v="100000100"/>
    <n v="10010101"/>
    <s v="ibmq_16_melbourne"/>
    <n v="8192"/>
    <n v="3.1274659999999902E-3"/>
    <n v="4"/>
  </r>
  <r>
    <x v="4"/>
    <n v="1"/>
    <n v="21"/>
    <n v="6"/>
    <n v="4"/>
    <n v="32"/>
    <n v="25.32660246"/>
    <n v="2.1405220000000002E-3"/>
    <n v="101101000"/>
    <n v="101101000"/>
    <n v="101101000"/>
    <s v="ibmq_16_melbourne"/>
    <n v="8192"/>
    <n v="3.0916259999999901E-3"/>
    <n v="0"/>
  </r>
  <r>
    <x v="4"/>
    <n v="1"/>
    <n v="21"/>
    <n v="8"/>
    <n v="2"/>
    <n v="32"/>
    <n v="24.841200350000001"/>
    <n v="2.1748539999999999E-3"/>
    <n v="10000010"/>
    <n v="10000000"/>
    <n v="10000010"/>
    <s v="ibmq_16_melbourne"/>
    <n v="8192"/>
    <n v="3.0323730000000001E-3"/>
    <n v="1"/>
  </r>
  <r>
    <x v="4"/>
    <n v="1"/>
    <n v="21"/>
    <n v="3"/>
    <n v="7"/>
    <n v="32"/>
    <n v="25.688285109999999"/>
    <n v="2.1693709999999998E-3"/>
    <n v="101101111"/>
    <n v="100000000"/>
    <n v="101101111"/>
    <s v="ibmq_16_melbourne"/>
    <n v="8192"/>
    <n v="3.1357770000000002E-3"/>
    <n v="6"/>
  </r>
  <r>
    <x v="4"/>
    <n v="1"/>
    <n v="21"/>
    <n v="3"/>
    <n v="7"/>
    <n v="32"/>
    <n v="25.039800169999999"/>
    <n v="2.87199E-3"/>
    <n v="1001111011"/>
    <n v="1101100"/>
    <n v="1001111011"/>
    <s v="ibmq_16_melbourne"/>
    <n v="8192"/>
    <n v="3.0566159999999998E-3"/>
    <n v="5"/>
  </r>
  <r>
    <x v="4"/>
    <n v="1"/>
    <n v="21"/>
    <n v="4"/>
    <n v="6"/>
    <n v="32"/>
    <n v="25.795416360000001"/>
    <n v="2.1457669999999998E-3"/>
    <n v="1110011001"/>
    <n v="1110000001"/>
    <n v="1110011001"/>
    <s v="ibmq_16_melbourne"/>
    <n v="8192"/>
    <n v="3.1488549999999999E-3"/>
    <n v="2"/>
  </r>
  <r>
    <x v="4"/>
    <n v="1"/>
    <n v="21"/>
    <n v="3"/>
    <n v="7"/>
    <n v="32"/>
    <n v="25.294555899999999"/>
    <n v="2.1691319999999998E-3"/>
    <n v="1001101111"/>
    <n v="1001101000"/>
    <n v="1001101111"/>
    <s v="ibmq_16_melbourne"/>
    <n v="8192"/>
    <n v="3.0877140000000001E-3"/>
    <n v="3"/>
  </r>
  <r>
    <x v="4"/>
    <n v="1"/>
    <n v="21"/>
    <n v="4"/>
    <n v="6"/>
    <n v="32"/>
    <n v="25.53627753"/>
    <n v="2.1691319999999998E-3"/>
    <n v="111001011"/>
    <n v="1000010"/>
    <n v="111001011"/>
    <s v="ibmq_16_melbourne"/>
    <n v="8192"/>
    <n v="3.1172209999999999E-3"/>
    <n v="4"/>
  </r>
  <r>
    <x v="4"/>
    <n v="1"/>
    <n v="21"/>
    <n v="8"/>
    <n v="2"/>
    <n v="32"/>
    <n v="24.70934033"/>
    <n v="2.880812E-3"/>
    <n v="1100000"/>
    <n v="1000000"/>
    <n v="1100000"/>
    <s v="ibmq_16_melbourne"/>
    <n v="8192"/>
    <n v="3.0162769999999999E-3"/>
    <n v="1"/>
  </r>
  <r>
    <x v="4"/>
    <n v="1"/>
    <n v="21"/>
    <n v="3"/>
    <n v="7"/>
    <n v="32"/>
    <n v="25.061631680000001"/>
    <n v="2.9928680000000001E-3"/>
    <n v="1110111010"/>
    <n v="1010"/>
    <n v="1110111010"/>
    <s v="ibmq_16_melbourne"/>
    <n v="8192"/>
    <n v="3.0592809999999901E-3"/>
    <n v="5"/>
  </r>
  <r>
    <x v="5"/>
    <n v="1"/>
    <n v="19"/>
    <n v="4"/>
    <n v="5"/>
    <n v="29"/>
    <n v="14.938520670000001"/>
    <n v="2.035856E-3"/>
    <n v="110011001"/>
    <n v="10000001"/>
    <n v="110011001"/>
    <s v="ibmq_16_melbourne"/>
    <n v="4096"/>
    <n v="3.6470999999999899E-3"/>
    <n v="3"/>
  </r>
  <r>
    <x v="5"/>
    <n v="1"/>
    <n v="19"/>
    <n v="3"/>
    <n v="6"/>
    <n v="29"/>
    <n v="14.577201840000001"/>
    <n v="2.087593E-3"/>
    <n v="100111110"/>
    <n v="100100000"/>
    <n v="100111110"/>
    <s v="ibmq_16_melbourne"/>
    <n v="4096"/>
    <n v="3.5588870000000002E-3"/>
    <n v="4"/>
  </r>
  <r>
    <x v="5"/>
    <n v="1"/>
    <n v="19"/>
    <n v="3"/>
    <n v="6"/>
    <n v="29"/>
    <n v="14.75330782"/>
    <n v="2.0143990000000001E-3"/>
    <n v="111011001"/>
    <n v="111000011"/>
    <n v="111011001"/>
    <s v="ibmq_16_melbourne"/>
    <n v="4096"/>
    <n v="3.6018819999999998E-3"/>
    <n v="3"/>
  </r>
  <r>
    <x v="5"/>
    <n v="1"/>
    <n v="19"/>
    <n v="6"/>
    <n v="3"/>
    <n v="29"/>
    <n v="14.79332089"/>
    <n v="2.0754340000000001E-3"/>
    <n v="10000011"/>
    <n v="10000011"/>
    <n v="10000011"/>
    <s v="ibmq_16_melbourne"/>
    <n v="4096"/>
    <n v="3.61165099999999E-3"/>
    <n v="0"/>
  </r>
  <r>
    <x v="5"/>
    <n v="1"/>
    <n v="19"/>
    <n v="6"/>
    <n v="3"/>
    <n v="29"/>
    <n v="14.688640360000001"/>
    <n v="2.1007059999999999E-3"/>
    <n v="110001000"/>
    <n v="110001000"/>
    <n v="110001000"/>
    <s v="ibmq_16_melbourne"/>
    <n v="4096"/>
    <n v="3.5860940000000002E-3"/>
    <n v="0"/>
  </r>
  <r>
    <x v="5"/>
    <n v="1"/>
    <n v="19"/>
    <n v="7"/>
    <n v="2"/>
    <n v="29"/>
    <n v="14.633138899999899"/>
    <n v="2.152443E-3"/>
    <n v="10010000"/>
    <n v="10000000"/>
    <n v="10010000"/>
    <s v="ibmq_16_melbourne"/>
    <n v="4096"/>
    <n v="3.572544E-3"/>
    <n v="1"/>
  </r>
  <r>
    <x v="5"/>
    <n v="1"/>
    <n v="19"/>
    <n v="7"/>
    <n v="2"/>
    <n v="29"/>
    <n v="14.748100040000001"/>
    <n v="2.1324159999999998E-3"/>
    <n v="10100000"/>
    <n v="10000000"/>
    <n v="10100000"/>
    <s v="ibmq_16_melbourne"/>
    <n v="4096"/>
    <n v="3.6006100000000002E-3"/>
    <n v="1"/>
  </r>
  <r>
    <x v="5"/>
    <n v="1"/>
    <n v="19"/>
    <n v="6"/>
    <n v="3"/>
    <n v="29"/>
    <n v="14.64745617"/>
    <n v="2.300262E-3"/>
    <n v="11010000"/>
    <n v="11010000"/>
    <n v="11010000"/>
    <s v="ibmq_16_melbourne"/>
    <n v="4096"/>
    <n v="3.576039E-3"/>
    <n v="0"/>
  </r>
  <r>
    <x v="5"/>
    <n v="1"/>
    <n v="19"/>
    <n v="3"/>
    <n v="6"/>
    <n v="29"/>
    <n v="14.56031799"/>
    <n v="2.235889E-3"/>
    <n v="110111010"/>
    <n v="110001000"/>
    <n v="110111010"/>
    <s v="ibmq_16_melbourne"/>
    <n v="4096"/>
    <n v="3.5547650000000001E-3"/>
    <n v="3"/>
  </r>
  <r>
    <x v="5"/>
    <n v="1"/>
    <n v="19"/>
    <n v="4"/>
    <n v="5"/>
    <n v="29"/>
    <n v="14.474804880000001"/>
    <n v="2.0480160000000002E-3"/>
    <n v="11010110"/>
    <n v="10000"/>
    <n v="11010110"/>
    <s v="ibmq_16_melbourne"/>
    <n v="4096"/>
    <n v="3.5338879999999998E-3"/>
    <n v="4"/>
  </r>
  <r>
    <x v="6"/>
    <n v="1"/>
    <n v="17"/>
    <n v="6"/>
    <n v="2"/>
    <n v="26"/>
    <n v="9.5438325410000004"/>
    <n v="2.0151140000000001E-3"/>
    <n v="10000001"/>
    <n v="10000000"/>
    <n v="10000001"/>
    <s v="ibmq_16_melbourne"/>
    <n v="2048"/>
    <n v="4.6600740000000002E-3"/>
    <n v="1"/>
  </r>
  <r>
    <x v="6"/>
    <n v="1"/>
    <n v="17"/>
    <n v="3"/>
    <n v="5"/>
    <n v="26"/>
    <n v="9.4201018810000008"/>
    <n v="2.4085040000000001E-3"/>
    <n v="10111010"/>
    <n v="1010"/>
    <n v="10111010"/>
    <s v="ibmq_16_melbourne"/>
    <n v="2048"/>
    <n v="4.5996589999999999E-3"/>
    <n v="3"/>
  </r>
  <r>
    <x v="6"/>
    <n v="1"/>
    <n v="17"/>
    <n v="3"/>
    <n v="5"/>
    <n v="26"/>
    <n v="9.3275363450000004"/>
    <n v="2.0205969999999998E-3"/>
    <n v="1010111"/>
    <n v="1101111"/>
    <n v="1010111"/>
    <s v="ibmq_16_melbourne"/>
    <n v="2048"/>
    <n v="4.5544610000000001E-3"/>
    <n v="3"/>
  </r>
  <r>
    <x v="6"/>
    <n v="1"/>
    <n v="17"/>
    <n v="3"/>
    <n v="5"/>
    <n v="26"/>
    <n v="9.7461848260000004"/>
    <n v="2.1076200000000002E-3"/>
    <n v="10101011"/>
    <n v="10101011"/>
    <n v="10101011"/>
    <s v="ibmq_16_melbourne"/>
    <n v="2048"/>
    <n v="4.7588789999999997E-3"/>
    <n v="0"/>
  </r>
  <r>
    <x v="6"/>
    <n v="1"/>
    <n v="17"/>
    <n v="7"/>
    <n v="1"/>
    <n v="26"/>
    <n v="9.0238647459999992"/>
    <n v="2.1908279999999902E-3"/>
    <n v="1000"/>
    <n v="1000"/>
    <n v="1000"/>
    <s v="ibmq_16_melbourne"/>
    <n v="2048"/>
    <n v="4.4061839999999996E-3"/>
    <n v="0"/>
  </r>
  <r>
    <x v="6"/>
    <n v="1"/>
    <n v="17"/>
    <n v="5"/>
    <n v="3"/>
    <n v="26"/>
    <n v="9.5080351829999898"/>
    <n v="2.0716189999999998E-3"/>
    <n v="101100"/>
    <n v="101100"/>
    <n v="101100"/>
    <s v="ibmq_16_melbourne"/>
    <n v="2048"/>
    <n v="4.6425950000000002E-3"/>
    <n v="0"/>
  </r>
  <r>
    <x v="6"/>
    <n v="1"/>
    <n v="17"/>
    <n v="3"/>
    <n v="5"/>
    <n v="26"/>
    <n v="9.4924421310000007"/>
    <n v="1.9245149999999999E-3"/>
    <n v="11001101"/>
    <n v="11001100"/>
    <n v="11001101"/>
    <s v="ibmq_16_melbourne"/>
    <n v="2048"/>
    <n v="4.6349820000000002E-3"/>
    <n v="1"/>
  </r>
  <r>
    <x v="6"/>
    <n v="1"/>
    <n v="17"/>
    <n v="2"/>
    <n v="6"/>
    <n v="26"/>
    <n v="9.2002835269999999"/>
    <n v="2.054214E-3"/>
    <n v="1110111"/>
    <n v="1010000"/>
    <n v="1110111"/>
    <s v="ibmq_16_melbourne"/>
    <n v="2048"/>
    <n v="4.4923259999999996E-3"/>
    <n v="4"/>
  </r>
  <r>
    <x v="6"/>
    <n v="1"/>
    <n v="17"/>
    <n v="2"/>
    <n v="6"/>
    <n v="26"/>
    <n v="9.4960391519999998"/>
    <n v="2.078533E-3"/>
    <n v="10111101"/>
    <n v="100000"/>
    <n v="10111101"/>
    <s v="ibmq_16_melbourne"/>
    <n v="2048"/>
    <n v="4.6367379999999996E-3"/>
    <n v="5"/>
  </r>
  <r>
    <x v="6"/>
    <n v="1"/>
    <n v="17"/>
    <n v="5"/>
    <n v="3"/>
    <n v="26"/>
    <n v="9.2851893899999993"/>
    <n v="1.9454959999999999E-3"/>
    <n v="11100000"/>
    <n v="11100000"/>
    <n v="11100000"/>
    <s v="ibmq_16_melbourne"/>
    <n v="2048"/>
    <n v="4.5337839999999999E-3"/>
    <n v="0"/>
  </r>
  <r>
    <x v="7"/>
    <n v="1"/>
    <n v="15"/>
    <n v="4"/>
    <n v="3"/>
    <n v="23"/>
    <n v="6.5440628529999998"/>
    <n v="1.8990039999999999E-3"/>
    <n v="1010001"/>
    <n v="1010001"/>
    <n v="1010001"/>
    <s v="ibmq_16_melbourne"/>
    <n v="1024"/>
    <n v="6.3906859999999996E-3"/>
    <n v="0"/>
  </r>
  <r>
    <x v="7"/>
    <n v="1"/>
    <n v="15"/>
    <n v="4"/>
    <n v="3"/>
    <n v="23"/>
    <n v="6.6937680239999997"/>
    <n v="1.9834039999999998E-3"/>
    <n v="1011"/>
    <n v="1011"/>
    <n v="1011"/>
    <s v="ibmq_16_melbourne"/>
    <n v="1024"/>
    <n v="6.5368830000000003E-3"/>
    <n v="0"/>
  </r>
  <r>
    <x v="7"/>
    <n v="1"/>
    <n v="15"/>
    <n v="3"/>
    <n v="4"/>
    <n v="23"/>
    <n v="6.8551816939999997"/>
    <n v="2.0141600000000001E-3"/>
    <n v="1101001"/>
    <n v="1000001"/>
    <n v="1101001"/>
    <s v="ibmq_16_melbourne"/>
    <n v="1024"/>
    <n v="6.694513E-3"/>
    <n v="2"/>
  </r>
  <r>
    <x v="7"/>
    <n v="1"/>
    <n v="15"/>
    <n v="1"/>
    <n v="6"/>
    <n v="23"/>
    <n v="6.701915026"/>
    <n v="2.1634100000000002E-3"/>
    <n v="111111"/>
    <n v="110"/>
    <n v="111111"/>
    <s v="ibmq_16_melbourne"/>
    <n v="1024"/>
    <n v="6.5448390000000002E-3"/>
    <n v="4"/>
  </r>
  <r>
    <x v="7"/>
    <n v="1"/>
    <n v="15"/>
    <n v="4"/>
    <n v="3"/>
    <n v="23"/>
    <n v="6.6446053979999897"/>
    <n v="3.6799909999999901E-3"/>
    <n v="100110"/>
    <n v="100110"/>
    <n v="100110"/>
    <s v="ibmq_16_melbourne"/>
    <n v="1024"/>
    <n v="6.4888719999999997E-3"/>
    <n v="0"/>
  </r>
  <r>
    <x v="7"/>
    <n v="1"/>
    <n v="15"/>
    <n v="2"/>
    <n v="5"/>
    <n v="23"/>
    <n v="6.7131888870000003"/>
    <n v="2.101421E-3"/>
    <n v="1101101"/>
    <n v="1101000"/>
    <n v="1101101"/>
    <s v="ibmq_16_melbourne"/>
    <n v="1024"/>
    <n v="6.5558489999999999E-3"/>
    <n v="2"/>
  </r>
  <r>
    <x v="7"/>
    <n v="1"/>
    <n v="15"/>
    <n v="5"/>
    <n v="2"/>
    <n v="23"/>
    <n v="6.6380510329999902"/>
    <n v="1.8315320000000001E-3"/>
    <n v="1000100"/>
    <n v="1000000"/>
    <n v="1000100"/>
    <s v="ibmq_16_melbourne"/>
    <n v="1024"/>
    <n v="6.48247199999999E-3"/>
    <n v="1"/>
  </r>
  <r>
    <x v="7"/>
    <n v="1"/>
    <n v="15"/>
    <n v="5"/>
    <n v="2"/>
    <n v="23"/>
    <n v="6.3316650389999998"/>
    <n v="2.268314E-3"/>
    <n v="1000001"/>
    <n v="1000000"/>
    <n v="1000001"/>
    <s v="ibmq_16_melbourne"/>
    <n v="1024"/>
    <n v="6.1832669999999897E-3"/>
    <n v="1"/>
  </r>
  <r>
    <x v="7"/>
    <n v="1"/>
    <n v="15"/>
    <n v="3"/>
    <n v="4"/>
    <n v="23"/>
    <n v="6.752380133"/>
    <n v="1.991034E-3"/>
    <n v="11101"/>
    <n v="11100"/>
    <n v="11101"/>
    <s v="ibmq_16_melbourne"/>
    <n v="1024"/>
    <n v="6.5941209999999997E-3"/>
    <n v="1"/>
  </r>
  <r>
    <x v="7"/>
    <n v="1"/>
    <n v="15"/>
    <n v="4"/>
    <n v="3"/>
    <n v="23"/>
    <n v="6.3342344759999998"/>
    <n v="2.0694730000000001E-3"/>
    <n v="100101"/>
    <n v="100101"/>
    <n v="100101"/>
    <s v="ibmq_16_melbourne"/>
    <n v="1024"/>
    <n v="6.1857759999999996E-3"/>
    <n v="0"/>
  </r>
  <r>
    <x v="8"/>
    <n v="1"/>
    <n v="13"/>
    <n v="5"/>
    <n v="1"/>
    <n v="20"/>
    <n v="6.5746970179999904"/>
    <n v="1.7430779999999999E-3"/>
    <n v="1"/>
    <n v="1"/>
    <n v="1"/>
    <s v="ibmq_16_melbourne"/>
    <n v="1024"/>
    <n v="6.4206030000000004E-3"/>
    <n v="0"/>
  </r>
  <r>
    <x v="8"/>
    <n v="1"/>
    <n v="13"/>
    <n v="2"/>
    <n v="4"/>
    <n v="20"/>
    <n v="6.4890882970000003"/>
    <n v="1.7151829999999999E-3"/>
    <n v="110011"/>
    <n v="100111"/>
    <n v="110011"/>
    <s v="ibmq_16_melbourne"/>
    <n v="1024"/>
    <n v="6.3369999999999998E-3"/>
    <n v="2"/>
  </r>
  <r>
    <x v="8"/>
    <n v="1"/>
    <n v="13"/>
    <n v="2"/>
    <n v="4"/>
    <n v="20"/>
    <n v="6.4765100479999997"/>
    <n v="1.8453600000000001E-3"/>
    <n v="111010"/>
    <n v="1010"/>
    <n v="111010"/>
    <s v="ibmq_16_melbourne"/>
    <n v="1024"/>
    <n v="6.3247169999999997E-3"/>
    <n v="2"/>
  </r>
  <r>
    <x v="8"/>
    <n v="1"/>
    <n v="13"/>
    <n v="5"/>
    <n v="1"/>
    <n v="20"/>
    <n v="6.4561886789999896"/>
    <n v="1.753569E-3"/>
    <n v="100"/>
    <n v="100"/>
    <n v="100"/>
    <s v="ibmq_16_melbourne"/>
    <n v="1024"/>
    <n v="6.30487199999999E-3"/>
    <n v="0"/>
  </r>
  <r>
    <x v="8"/>
    <n v="1"/>
    <n v="13"/>
    <n v="3"/>
    <n v="3"/>
    <n v="20"/>
    <n v="6.662145615"/>
    <n v="1.7178060000000001E-3"/>
    <n v="111000"/>
    <n v="111000"/>
    <n v="111000"/>
    <s v="ibmq_16_melbourne"/>
    <n v="1024"/>
    <n v="6.5060019999999899E-3"/>
    <n v="0"/>
  </r>
  <r>
    <x v="8"/>
    <n v="1"/>
    <n v="13"/>
    <n v="4"/>
    <n v="2"/>
    <n v="20"/>
    <n v="6.6926679609999997"/>
    <n v="1.8448829999999901E-3"/>
    <n v="10010"/>
    <n v="10000"/>
    <n v="10010"/>
    <s v="ibmq_16_melbourne"/>
    <n v="1024"/>
    <n v="6.5358090000000001E-3"/>
    <n v="1"/>
  </r>
  <r>
    <x v="8"/>
    <n v="1"/>
    <n v="13"/>
    <n v="4"/>
    <n v="2"/>
    <n v="20"/>
    <n v="6.4743330479999903"/>
    <n v="1.783848E-3"/>
    <n v="11"/>
    <n v="10"/>
    <n v="11"/>
    <s v="ibmq_16_melbourne"/>
    <n v="1024"/>
    <n v="6.3225909999999998E-3"/>
    <n v="1"/>
  </r>
  <r>
    <x v="8"/>
    <n v="1"/>
    <n v="13"/>
    <n v="4"/>
    <n v="2"/>
    <n v="20"/>
    <n v="6.5403478149999996"/>
    <n v="1.681805E-3"/>
    <n v="1010"/>
    <n v="1000"/>
    <n v="1010"/>
    <s v="ibmq_16_melbourne"/>
    <n v="1024"/>
    <n v="6.3870580000000001E-3"/>
    <n v="1"/>
  </r>
  <r>
    <x v="8"/>
    <n v="1"/>
    <n v="13"/>
    <n v="3"/>
    <n v="3"/>
    <n v="20"/>
    <n v="6.6953995229999999"/>
    <n v="2.4983879999999998E-3"/>
    <n v="110010"/>
    <n v="110010"/>
    <n v="110010"/>
    <s v="ibmq_16_melbourne"/>
    <n v="1024"/>
    <n v="6.5384759999999997E-3"/>
    <n v="0"/>
  </r>
  <r>
    <x v="8"/>
    <n v="1"/>
    <n v="13"/>
    <n v="3"/>
    <n v="3"/>
    <n v="20"/>
    <n v="6.6570670600000001"/>
    <n v="1.700163E-3"/>
    <n v="1110"/>
    <n v="1110"/>
    <n v="1110"/>
    <s v="ibmq_16_melbourne"/>
    <n v="1024"/>
    <n v="6.5010419999999899E-3"/>
    <n v="0"/>
  </r>
  <r>
    <x v="9"/>
    <n v="1"/>
    <n v="11"/>
    <n v="2"/>
    <n v="3"/>
    <n v="17"/>
    <n v="6.2125568389999897"/>
    <n v="1.5316010000000001E-3"/>
    <n v="11001"/>
    <n v="11001"/>
    <n v="11001"/>
    <s v="ibmq_16_melbourne"/>
    <n v="1024"/>
    <n v="6.0669499999999998E-3"/>
    <n v="0"/>
  </r>
  <r>
    <x v="9"/>
    <n v="1"/>
    <n v="11"/>
    <n v="3"/>
    <n v="2"/>
    <n v="17"/>
    <n v="6.3216133120000002"/>
    <n v="1.5234949999999999E-3"/>
    <n v="10001"/>
    <n v="10000"/>
    <n v="10001"/>
    <s v="ibmq_16_melbourne"/>
    <n v="1024"/>
    <n v="6.1734499999999996E-3"/>
    <n v="1"/>
  </r>
  <r>
    <x v="9"/>
    <n v="1"/>
    <n v="11"/>
    <n v="1"/>
    <n v="4"/>
    <n v="17"/>
    <n v="6.4640998839999897"/>
    <n v="1.529217E-3"/>
    <n v="11101"/>
    <n v="10100"/>
    <n v="11101"/>
    <s v="ibmq_16_melbourne"/>
    <n v="1024"/>
    <n v="6.312598E-3"/>
    <n v="2"/>
  </r>
  <r>
    <x v="9"/>
    <n v="1"/>
    <n v="11"/>
    <n v="4"/>
    <n v="1"/>
    <n v="17"/>
    <n v="6.9526078699999996"/>
    <n v="1.5392299999999999E-3"/>
    <n v="1000"/>
    <n v="1000"/>
    <n v="1000"/>
    <s v="ibmq_16_melbourne"/>
    <n v="1024"/>
    <n v="6.7896559999999998E-3"/>
    <n v="0"/>
  </r>
  <r>
    <x v="9"/>
    <n v="1"/>
    <n v="11"/>
    <n v="3"/>
    <n v="2"/>
    <n v="17"/>
    <n v="6.5360381600000004"/>
    <n v="1.6293529999999901E-3"/>
    <n v="110"/>
    <n v="100"/>
    <n v="110"/>
    <s v="ibmq_16_melbourne"/>
    <n v="1024"/>
    <n v="6.3828499999999998E-3"/>
    <n v="1"/>
  </r>
  <r>
    <x v="9"/>
    <n v="1"/>
    <n v="11"/>
    <n v="3"/>
    <n v="2"/>
    <n v="17"/>
    <n v="6.4418456549999998"/>
    <n v="1.5659329999999901E-3"/>
    <n v="101"/>
    <n v="100"/>
    <n v="101"/>
    <s v="ibmq_16_melbourne"/>
    <n v="1024"/>
    <n v="6.2908649999999997E-3"/>
    <n v="1"/>
  </r>
  <r>
    <x v="9"/>
    <n v="1"/>
    <n v="11"/>
    <n v="2"/>
    <n v="3"/>
    <n v="17"/>
    <n v="6.6429960729999999"/>
    <n v="1.557112E-3"/>
    <n v="11010"/>
    <n v="11010"/>
    <n v="11010"/>
    <s v="ibmq_16_melbourne"/>
    <n v="1024"/>
    <n v="6.487301E-3"/>
    <n v="0"/>
  </r>
  <r>
    <x v="9"/>
    <n v="1"/>
    <n v="11"/>
    <n v="2"/>
    <n v="3"/>
    <n v="17"/>
    <n v="6.6894741059999996"/>
    <n v="2.0067689999999998E-3"/>
    <n v="1011"/>
    <n v="1011"/>
    <n v="1011"/>
    <s v="ibmq_16_melbourne"/>
    <n v="1024"/>
    <n v="6.5326899999999999E-3"/>
    <n v="0"/>
  </r>
  <r>
    <x v="9"/>
    <n v="1"/>
    <n v="11"/>
    <n v="4"/>
    <n v="1"/>
    <n v="17"/>
    <n v="6.5679318899999997"/>
    <n v="1.6455650000000001E-3"/>
    <n v="1"/>
    <n v="1"/>
    <n v="1"/>
    <s v="ibmq_16_melbourne"/>
    <n v="1024"/>
    <n v="6.4139959999999999E-3"/>
    <n v="0"/>
  </r>
  <r>
    <x v="9"/>
    <n v="1"/>
    <n v="11"/>
    <n v="2"/>
    <n v="3"/>
    <n v="17"/>
    <n v="6.5680973529999997"/>
    <n v="1.7595289999999999E-3"/>
    <n v="11100"/>
    <n v="11100"/>
    <n v="11100"/>
    <s v="ibmq_16_melbourne"/>
    <n v="1024"/>
    <n v="6.4141579999999997E-3"/>
    <n v="0"/>
  </r>
  <r>
    <x v="10"/>
    <n v="1"/>
    <n v="9"/>
    <n v="2"/>
    <n v="2"/>
    <n v="14"/>
    <n v="7.4147675039999896"/>
    <n v="1.47104299999999E-3"/>
    <n v="101"/>
    <n v="101"/>
    <n v="101"/>
    <s v="ibmq_burlington"/>
    <n v="1024"/>
    <n v="7.2409839999999998E-3"/>
    <n v="0"/>
  </r>
  <r>
    <x v="10"/>
    <n v="1"/>
    <n v="9"/>
    <n v="2"/>
    <n v="2"/>
    <n v="14"/>
    <n v="8.6537437439999998"/>
    <n v="1.4631749999999999E-3"/>
    <n v="110"/>
    <n v="110"/>
    <n v="110"/>
    <s v="ibmq_burlington"/>
    <n v="1024"/>
    <n v="8.4509219999999996E-3"/>
    <n v="0"/>
  </r>
  <r>
    <x v="10"/>
    <n v="1"/>
    <n v="9"/>
    <n v="1"/>
    <n v="3"/>
    <n v="14"/>
    <n v="7.6899871829999897"/>
    <n v="1.5947820000000001E-3"/>
    <n v="1011"/>
    <n v="1011"/>
    <n v="1011"/>
    <s v="ibmq_burlington"/>
    <n v="1024"/>
    <n v="7.5097530000000001E-3"/>
    <n v="0"/>
  </r>
  <r>
    <x v="10"/>
    <n v="1"/>
    <n v="9"/>
    <n v="0"/>
    <n v="4"/>
    <n v="14"/>
    <n v="7.6496624950000003"/>
    <n v="1.4693739999999901E-3"/>
    <n v="1111"/>
    <n v="1111"/>
    <n v="1111"/>
    <s v="ibmq_burlington"/>
    <n v="1024"/>
    <n v="7.4703740000000001E-3"/>
    <n v="0"/>
  </r>
  <r>
    <x v="10"/>
    <n v="1"/>
    <n v="9"/>
    <n v="3"/>
    <n v="1"/>
    <n v="14"/>
    <n v="7.442036152"/>
    <n v="1.428604E-3"/>
    <n v="1"/>
    <n v="1"/>
    <n v="1"/>
    <s v="ibmq_burlington"/>
    <n v="1024"/>
    <n v="7.267613E-3"/>
    <n v="0"/>
  </r>
  <r>
    <x v="10"/>
    <n v="1"/>
    <n v="9"/>
    <n v="3"/>
    <n v="1"/>
    <n v="14"/>
    <n v="8.0239069460000003"/>
    <n v="1.5294550000000001E-3"/>
    <n v="1000"/>
    <n v="1000"/>
    <n v="1000"/>
    <s v="ibmq_burlington"/>
    <n v="1024"/>
    <n v="7.835847E-3"/>
    <n v="0"/>
  </r>
  <r>
    <x v="10"/>
    <n v="1"/>
    <n v="9"/>
    <n v="4"/>
    <n v="0"/>
    <n v="14"/>
    <n v="7.4464759829999903"/>
    <n v="1.394749E-3"/>
    <n v="0"/>
    <n v="0"/>
    <n v="0"/>
    <s v="ibmq_burlington"/>
    <n v="1024"/>
    <n v="7.2719489999999998E-3"/>
    <n v="0"/>
  </r>
  <r>
    <x v="10"/>
    <n v="1"/>
    <n v="9"/>
    <n v="2"/>
    <n v="2"/>
    <n v="14"/>
    <n v="7.5686633589999897"/>
    <n v="1.4736650000000001E-3"/>
    <n v="1001"/>
    <n v="1001"/>
    <n v="1001"/>
    <s v="ibmq_burlington"/>
    <n v="1024"/>
    <n v="7.3912730000000003E-3"/>
    <n v="0"/>
  </r>
  <r>
    <x v="10"/>
    <n v="1"/>
    <n v="9"/>
    <n v="3"/>
    <n v="1"/>
    <n v="14"/>
    <n v="7.5001966949999996"/>
    <n v="1.563311E-3"/>
    <n v="100"/>
    <n v="100"/>
    <n v="100"/>
    <s v="ibmq_burlington"/>
    <n v="1024"/>
    <n v="7.3244109999999899E-3"/>
    <n v="0"/>
  </r>
  <r>
    <x v="10"/>
    <n v="1"/>
    <n v="9"/>
    <n v="1"/>
    <n v="3"/>
    <n v="14"/>
    <n v="7.4747719760000004"/>
    <n v="1.4896389999999901E-3"/>
    <n v="111"/>
    <n v="111"/>
    <n v="111"/>
    <s v="ibmq_burlington"/>
    <n v="1024"/>
    <n v="7.2995819999999998E-3"/>
    <n v="0"/>
  </r>
  <r>
    <x v="11"/>
    <n v="1"/>
    <n v="7"/>
    <n v="1"/>
    <n v="2"/>
    <n v="11"/>
    <n v="7.5682723520000001"/>
    <n v="1.30105E-3"/>
    <n v="110"/>
    <n v="110"/>
    <n v="110"/>
    <s v="ibmq_burlington"/>
    <n v="1024"/>
    <n v="7.3908910000000001E-3"/>
    <n v="0"/>
  </r>
  <r>
    <x v="11"/>
    <n v="1"/>
    <n v="7"/>
    <n v="3"/>
    <n v="0"/>
    <n v="11"/>
    <n v="7.4498579500000002"/>
    <n v="1.294374E-3"/>
    <n v="0"/>
    <n v="0"/>
    <n v="0"/>
    <s v="ibmq_burlington"/>
    <n v="1024"/>
    <n v="7.2752519999999899E-3"/>
    <n v="0"/>
  </r>
  <r>
    <x v="11"/>
    <n v="1"/>
    <n v="7"/>
    <n v="1"/>
    <n v="2"/>
    <n v="11"/>
    <n v="7.3102493289999897"/>
    <n v="1.329422E-3"/>
    <n v="101"/>
    <n v="101"/>
    <n v="101"/>
    <s v="ibmq_burlington"/>
    <n v="1024"/>
    <n v="7.138915E-3"/>
    <n v="0"/>
  </r>
  <r>
    <x v="11"/>
    <n v="1"/>
    <n v="7"/>
    <n v="1"/>
    <n v="2"/>
    <n v="11"/>
    <n v="7.3111977579999996"/>
    <n v="1.3396739999999999E-3"/>
    <n v="11"/>
    <n v="11"/>
    <n v="11"/>
    <s v="ibmq_burlington"/>
    <n v="1024"/>
    <n v="7.13984199999999E-3"/>
    <n v="0"/>
  </r>
  <r>
    <x v="11"/>
    <n v="1"/>
    <n v="7"/>
    <n v="2"/>
    <n v="1"/>
    <n v="11"/>
    <n v="7.3789258000000002"/>
    <n v="1.4717579999999899E-3"/>
    <n v="1"/>
    <n v="1"/>
    <n v="1"/>
    <s v="ibmq_burlington"/>
    <n v="1024"/>
    <n v="7.2059819999999997E-3"/>
    <n v="0"/>
  </r>
  <r>
    <x v="11"/>
    <n v="1"/>
    <n v="7"/>
    <n v="2"/>
    <n v="1"/>
    <n v="11"/>
    <n v="7.2252101900000003"/>
    <n v="1.319885E-3"/>
    <n v="10"/>
    <n v="10"/>
    <n v="10"/>
    <s v="ibmq_burlington"/>
    <n v="1024"/>
    <n v="7.0558690000000002E-3"/>
    <n v="0"/>
  </r>
  <r>
    <x v="11"/>
    <n v="1"/>
    <n v="7"/>
    <n v="0"/>
    <n v="3"/>
    <n v="11"/>
    <n v="6.9665367600000003"/>
    <n v="1.344919E-3"/>
    <n v="111"/>
    <n v="111"/>
    <n v="111"/>
    <s v="ibmq_burlington"/>
    <n v="1024"/>
    <n v="6.8032589999999999E-3"/>
    <n v="0"/>
  </r>
  <r>
    <x v="11"/>
    <n v="1"/>
    <n v="7"/>
    <n v="2"/>
    <n v="1"/>
    <n v="11"/>
    <n v="6.9948370459999998"/>
    <n v="1.2972350000000001E-3"/>
    <n v="100"/>
    <n v="100"/>
    <n v="100"/>
    <s v="ibmq_burlington"/>
    <n v="1024"/>
    <n v="6.83089599999999E-3"/>
    <n v="0"/>
  </r>
  <r>
    <x v="12"/>
    <n v="1"/>
    <n v="5"/>
    <n v="0"/>
    <n v="2"/>
    <n v="8"/>
    <n v="7.3957817549999998"/>
    <n v="1.2650489999999901E-3"/>
    <n v="11"/>
    <n v="11"/>
    <n v="11"/>
    <s v="ibmq_burlington"/>
    <n v="1024"/>
    <n v="7.2224430000000003E-3"/>
    <n v="0"/>
  </r>
  <r>
    <x v="12"/>
    <n v="1"/>
    <n v="5"/>
    <n v="2"/>
    <n v="0"/>
    <n v="8"/>
    <n v="6.9910008909999997"/>
    <n v="1.2631419999999899E-3"/>
    <n v="0"/>
    <n v="0"/>
    <n v="0"/>
    <s v="ibmq_burlington"/>
    <n v="1024"/>
    <n v="6.8271490000000002E-3"/>
    <n v="0"/>
  </r>
  <r>
    <x v="12"/>
    <n v="1"/>
    <n v="5"/>
    <n v="1"/>
    <n v="1"/>
    <n v="8"/>
    <n v="7.1560714239999896"/>
    <n v="1.18494E-3"/>
    <n v="1"/>
    <n v="1"/>
    <n v="1"/>
    <s v="ibmq_burlington"/>
    <n v="1024"/>
    <n v="6.9883509999999899E-3"/>
    <n v="0"/>
  </r>
  <r>
    <x v="12"/>
    <n v="1"/>
    <n v="5"/>
    <n v="1"/>
    <n v="1"/>
    <n v="8"/>
    <n v="7.4678587910000003"/>
    <n v="1.188517E-3"/>
    <n v="10"/>
    <n v="10"/>
    <n v="10"/>
    <s v="ibmq_burlington"/>
    <n v="1024"/>
    <n v="7.2928309999999996E-3"/>
    <n v="0"/>
  </r>
  <r>
    <x v="13"/>
    <n v="1"/>
    <n v="3"/>
    <n v="1"/>
    <n v="0"/>
    <n v="5"/>
    <n v="7.3694059850000002"/>
    <n v="1.098871E-3"/>
    <n v="0"/>
    <n v="0"/>
    <n v="0"/>
    <s v="ibmq_burlington"/>
    <n v="1024"/>
    <n v="7.1966859999999999E-3"/>
    <n v="0"/>
  </r>
  <r>
    <x v="13"/>
    <n v="1"/>
    <n v="3"/>
    <n v="0"/>
    <n v="1"/>
    <n v="5"/>
    <n v="7.5954434869999998"/>
    <n v="1.12319E-3"/>
    <n v="1"/>
    <n v="1"/>
    <n v="1"/>
    <s v="ibmq_burlington"/>
    <n v="1024"/>
    <n v="7.4174250000000001E-3"/>
    <n v="0"/>
  </r>
  <r>
    <x v="14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B19" firstHeaderRow="1" firstDataRow="1" firstDataCol="1"/>
  <pivotFields count="15">
    <pivotField axis="axisRow" showAll="0">
      <items count="16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平均值项:hamming_dis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topLeftCell="P4" zoomScale="176" zoomScaleNormal="176" workbookViewId="0">
      <selection activeCell="AD28" sqref="AD28"/>
    </sheetView>
  </sheetViews>
  <sheetFormatPr defaultRowHeight="14.5" x14ac:dyDescent="0.35"/>
  <cols>
    <col min="6" max="6" width="16.36328125" customWidth="1"/>
    <col min="8" max="8" width="9.36328125" bestFit="1" customWidth="1"/>
    <col min="9" max="9" width="17.6328125" style="2" customWidth="1"/>
    <col min="13" max="13" width="17.81640625" customWidth="1"/>
    <col min="14" max="14" width="18.54296875" style="1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16</v>
      </c>
      <c r="N1" s="1" t="s">
        <v>17</v>
      </c>
      <c r="O1" t="s">
        <v>356</v>
      </c>
    </row>
    <row r="2" spans="1:15" x14ac:dyDescent="0.35">
      <c r="A2">
        <v>14</v>
      </c>
      <c r="B2">
        <v>1</v>
      </c>
      <c r="C2">
        <v>13</v>
      </c>
      <c r="D2">
        <v>29</v>
      </c>
      <c r="E2">
        <v>8</v>
      </c>
      <c r="F2">
        <v>50</v>
      </c>
      <c r="G2">
        <v>29.198802947998001</v>
      </c>
      <c r="H2" s="6">
        <v>3.4868717193603498E-3</v>
      </c>
      <c r="I2" s="2" t="s">
        <v>18</v>
      </c>
      <c r="J2" t="s">
        <v>29</v>
      </c>
      <c r="K2" t="s">
        <v>12</v>
      </c>
      <c r="L2">
        <v>8192</v>
      </c>
      <c r="M2">
        <f t="shared" ref="M2:M33" si="0">G2/L2</f>
        <v>3.5643070004880372E-3</v>
      </c>
      <c r="N2" s="1">
        <f t="shared" ref="N2:N33" si="1">H2/L2</f>
        <v>4.256435204297302E-7</v>
      </c>
      <c r="O2">
        <v>6</v>
      </c>
    </row>
    <row r="3" spans="1:15" x14ac:dyDescent="0.35">
      <c r="A3">
        <v>14</v>
      </c>
      <c r="B3">
        <v>1</v>
      </c>
      <c r="C3">
        <v>13</v>
      </c>
      <c r="D3">
        <v>29</v>
      </c>
      <c r="E3">
        <v>11</v>
      </c>
      <c r="F3">
        <v>53</v>
      </c>
      <c r="G3">
        <v>27.444428205490102</v>
      </c>
      <c r="H3" s="6">
        <v>3.4060478210449201E-3</v>
      </c>
      <c r="I3" s="2" t="s">
        <v>19</v>
      </c>
      <c r="J3" t="s">
        <v>30</v>
      </c>
      <c r="K3" t="s">
        <v>12</v>
      </c>
      <c r="L3">
        <v>8192</v>
      </c>
      <c r="M3">
        <f t="shared" si="0"/>
        <v>3.3501499274279909E-3</v>
      </c>
      <c r="N3" s="1">
        <f t="shared" si="1"/>
        <v>4.1577732190489748E-7</v>
      </c>
      <c r="O3">
        <v>7</v>
      </c>
    </row>
    <row r="4" spans="1:15" x14ac:dyDescent="0.35">
      <c r="A4">
        <v>14</v>
      </c>
      <c r="B4">
        <v>1</v>
      </c>
      <c r="C4">
        <v>13</v>
      </c>
      <c r="D4">
        <v>29</v>
      </c>
      <c r="E4">
        <v>9</v>
      </c>
      <c r="F4">
        <v>51</v>
      </c>
      <c r="G4">
        <v>28.864775657653801</v>
      </c>
      <c r="H4" s="6">
        <v>3.2849311828613199E-3</v>
      </c>
      <c r="I4" s="2" t="s">
        <v>20</v>
      </c>
      <c r="J4" t="s">
        <v>31</v>
      </c>
      <c r="K4" t="s">
        <v>12</v>
      </c>
      <c r="L4">
        <v>8192</v>
      </c>
      <c r="M4">
        <f t="shared" si="0"/>
        <v>3.5235321847721926E-3</v>
      </c>
      <c r="N4" s="1">
        <f t="shared" si="1"/>
        <v>4.0099257603287596E-7</v>
      </c>
      <c r="O4">
        <v>5</v>
      </c>
    </row>
    <row r="5" spans="1:15" x14ac:dyDescent="0.35">
      <c r="A5">
        <v>14</v>
      </c>
      <c r="B5">
        <v>1</v>
      </c>
      <c r="C5">
        <v>21</v>
      </c>
      <c r="D5">
        <v>29</v>
      </c>
      <c r="E5">
        <v>6</v>
      </c>
      <c r="F5">
        <v>56</v>
      </c>
      <c r="G5">
        <v>29.811679840087798</v>
      </c>
      <c r="H5" s="6">
        <v>4.5568943023681597E-3</v>
      </c>
      <c r="I5" s="2" t="s">
        <v>32</v>
      </c>
      <c r="J5" t="s">
        <v>33</v>
      </c>
      <c r="K5" t="s">
        <v>12</v>
      </c>
      <c r="L5">
        <v>8192</v>
      </c>
      <c r="M5">
        <f t="shared" si="0"/>
        <v>3.6391210742294676E-3</v>
      </c>
      <c r="N5" s="1">
        <f t="shared" si="1"/>
        <v>5.5626151151955075E-7</v>
      </c>
      <c r="O5">
        <v>3</v>
      </c>
    </row>
    <row r="6" spans="1:15" x14ac:dyDescent="0.35">
      <c r="A6">
        <v>14</v>
      </c>
      <c r="B6">
        <v>1</v>
      </c>
      <c r="C6">
        <v>21</v>
      </c>
      <c r="D6">
        <v>29</v>
      </c>
      <c r="E6">
        <v>4</v>
      </c>
      <c r="F6">
        <v>54</v>
      </c>
      <c r="G6">
        <v>27.141618728637599</v>
      </c>
      <c r="H6" s="6">
        <v>4.3060779571533203E-3</v>
      </c>
      <c r="I6" s="2" t="s">
        <v>22</v>
      </c>
      <c r="J6" t="s">
        <v>34</v>
      </c>
      <c r="K6" t="s">
        <v>12</v>
      </c>
      <c r="L6">
        <v>8192</v>
      </c>
      <c r="M6">
        <f t="shared" si="0"/>
        <v>3.3131858799606445E-3</v>
      </c>
      <c r="N6" s="1">
        <f t="shared" si="1"/>
        <v>5.2564428187906742E-7</v>
      </c>
      <c r="O6">
        <v>3</v>
      </c>
    </row>
    <row r="7" spans="1:15" x14ac:dyDescent="0.35">
      <c r="A7">
        <v>14</v>
      </c>
      <c r="B7">
        <v>1</v>
      </c>
      <c r="C7">
        <v>21</v>
      </c>
      <c r="D7">
        <v>29</v>
      </c>
      <c r="E7">
        <v>9</v>
      </c>
      <c r="F7">
        <v>59</v>
      </c>
      <c r="G7">
        <v>29.640186548233</v>
      </c>
      <c r="H7" s="6">
        <v>4.0936470031738203E-3</v>
      </c>
      <c r="I7" s="2" t="s">
        <v>35</v>
      </c>
      <c r="J7" t="s">
        <v>36</v>
      </c>
      <c r="K7" t="s">
        <v>12</v>
      </c>
      <c r="L7">
        <v>8192</v>
      </c>
      <c r="M7">
        <f t="shared" si="0"/>
        <v>3.6181868345010987E-3</v>
      </c>
      <c r="N7" s="1">
        <f t="shared" si="1"/>
        <v>4.9971276894211674E-7</v>
      </c>
      <c r="O7">
        <v>8</v>
      </c>
    </row>
    <row r="8" spans="1:15" x14ac:dyDescent="0.35">
      <c r="A8">
        <v>14</v>
      </c>
      <c r="B8">
        <v>1</v>
      </c>
      <c r="C8">
        <v>11</v>
      </c>
      <c r="D8">
        <v>29</v>
      </c>
      <c r="E8">
        <v>6</v>
      </c>
      <c r="F8">
        <v>46</v>
      </c>
      <c r="G8">
        <v>28.408259630203201</v>
      </c>
      <c r="H8" s="6">
        <v>3.7262439727783199E-3</v>
      </c>
      <c r="I8" s="2" t="s">
        <v>37</v>
      </c>
      <c r="J8" t="s">
        <v>38</v>
      </c>
      <c r="K8" t="s">
        <v>12</v>
      </c>
      <c r="L8">
        <v>8192</v>
      </c>
      <c r="M8">
        <f t="shared" si="0"/>
        <v>3.4678051306400392E-3</v>
      </c>
      <c r="N8" s="1">
        <f t="shared" si="1"/>
        <v>4.54863766208291E-7</v>
      </c>
      <c r="O8">
        <v>3</v>
      </c>
    </row>
    <row r="9" spans="1:15" x14ac:dyDescent="0.35">
      <c r="A9">
        <v>14</v>
      </c>
      <c r="B9">
        <v>1</v>
      </c>
      <c r="C9">
        <v>11</v>
      </c>
      <c r="D9">
        <v>29</v>
      </c>
      <c r="E9">
        <v>10</v>
      </c>
      <c r="F9">
        <v>50</v>
      </c>
      <c r="G9">
        <v>32.304448366165097</v>
      </c>
      <c r="H9" s="6">
        <v>3.43918800354003E-3</v>
      </c>
      <c r="I9" s="2" t="s">
        <v>39</v>
      </c>
      <c r="J9" t="s">
        <v>40</v>
      </c>
      <c r="K9" t="s">
        <v>12</v>
      </c>
      <c r="L9">
        <v>8192</v>
      </c>
      <c r="M9">
        <f t="shared" si="0"/>
        <v>3.9434141071978878E-3</v>
      </c>
      <c r="N9" s="1">
        <f t="shared" si="1"/>
        <v>4.1982275433838256E-7</v>
      </c>
      <c r="O9">
        <v>10</v>
      </c>
    </row>
    <row r="10" spans="1:15" x14ac:dyDescent="0.35">
      <c r="A10">
        <v>14</v>
      </c>
      <c r="B10">
        <v>1</v>
      </c>
      <c r="C10">
        <v>11</v>
      </c>
      <c r="D10">
        <v>29</v>
      </c>
      <c r="E10">
        <v>6</v>
      </c>
      <c r="F10">
        <v>46</v>
      </c>
      <c r="G10">
        <v>30.011257410049399</v>
      </c>
      <c r="H10" s="6">
        <v>3.9825439453125E-3</v>
      </c>
      <c r="I10" s="2" t="s">
        <v>41</v>
      </c>
      <c r="J10" t="s">
        <v>42</v>
      </c>
      <c r="K10" t="s">
        <v>12</v>
      </c>
      <c r="L10">
        <v>8192</v>
      </c>
      <c r="M10">
        <f t="shared" si="0"/>
        <v>3.6634835705626708E-3</v>
      </c>
      <c r="N10" s="1">
        <f t="shared" si="1"/>
        <v>4.8615038394927979E-7</v>
      </c>
      <c r="O10">
        <v>5</v>
      </c>
    </row>
    <row r="11" spans="1:15" x14ac:dyDescent="0.35">
      <c r="A11">
        <v>14</v>
      </c>
      <c r="B11">
        <v>0</v>
      </c>
      <c r="C11">
        <v>1</v>
      </c>
      <c r="D11">
        <v>29</v>
      </c>
      <c r="E11">
        <v>0</v>
      </c>
      <c r="F11">
        <v>30</v>
      </c>
      <c r="G11">
        <v>30.063098430633499</v>
      </c>
      <c r="H11" s="6">
        <v>3.1812191009521402E-3</v>
      </c>
      <c r="I11" s="2" t="s">
        <v>39</v>
      </c>
      <c r="J11" t="s">
        <v>39</v>
      </c>
      <c r="K11" t="s">
        <v>12</v>
      </c>
      <c r="L11">
        <v>8192</v>
      </c>
      <c r="M11">
        <f t="shared" si="0"/>
        <v>3.6698118201456908E-3</v>
      </c>
      <c r="N11" s="1">
        <f t="shared" si="1"/>
        <v>3.883324097841968E-7</v>
      </c>
      <c r="O11">
        <v>0</v>
      </c>
    </row>
    <row r="12" spans="1:15" x14ac:dyDescent="0.35">
      <c r="A12">
        <v>14</v>
      </c>
      <c r="B12">
        <v>0</v>
      </c>
      <c r="C12">
        <v>2</v>
      </c>
      <c r="D12">
        <v>29</v>
      </c>
      <c r="E12">
        <v>0</v>
      </c>
      <c r="F12">
        <v>31</v>
      </c>
      <c r="G12">
        <v>30.639732599258402</v>
      </c>
      <c r="H12" s="6">
        <v>3.1132698059082001E-3</v>
      </c>
      <c r="I12" s="2" t="s">
        <v>39</v>
      </c>
      <c r="J12" t="s">
        <v>39</v>
      </c>
      <c r="K12" t="s">
        <v>12</v>
      </c>
      <c r="L12">
        <v>8192</v>
      </c>
      <c r="M12">
        <f t="shared" si="0"/>
        <v>3.7402017333079103E-3</v>
      </c>
      <c r="N12" s="1">
        <f t="shared" si="1"/>
        <v>3.8003781810402833E-7</v>
      </c>
      <c r="O12">
        <v>0</v>
      </c>
    </row>
    <row r="13" spans="1:15" x14ac:dyDescent="0.35">
      <c r="A13">
        <v>13</v>
      </c>
      <c r="B13">
        <v>1</v>
      </c>
      <c r="C13">
        <v>13</v>
      </c>
      <c r="D13">
        <v>27</v>
      </c>
      <c r="E13">
        <v>9</v>
      </c>
      <c r="F13">
        <v>49</v>
      </c>
      <c r="G13">
        <v>26.4434444904327</v>
      </c>
      <c r="H13" s="6">
        <v>3.1197071075439401E-3</v>
      </c>
      <c r="I13" s="2" t="s">
        <v>25</v>
      </c>
      <c r="J13" t="s">
        <v>43</v>
      </c>
      <c r="K13" t="s">
        <v>12</v>
      </c>
      <c r="L13">
        <v>8192</v>
      </c>
      <c r="M13">
        <f t="shared" si="0"/>
        <v>3.227959532523523E-3</v>
      </c>
      <c r="N13" s="1">
        <f t="shared" si="1"/>
        <v>3.8082362152635988E-7</v>
      </c>
      <c r="O13">
        <v>8</v>
      </c>
    </row>
    <row r="14" spans="1:15" x14ac:dyDescent="0.35">
      <c r="A14">
        <v>13</v>
      </c>
      <c r="B14">
        <v>1</v>
      </c>
      <c r="C14">
        <v>13</v>
      </c>
      <c r="D14">
        <v>27</v>
      </c>
      <c r="E14">
        <v>8</v>
      </c>
      <c r="F14">
        <v>48</v>
      </c>
      <c r="G14">
        <v>27.7513797283172</v>
      </c>
      <c r="H14" s="6">
        <v>4.0650367736816398E-3</v>
      </c>
      <c r="I14" s="2" t="s">
        <v>44</v>
      </c>
      <c r="J14" t="s">
        <v>45</v>
      </c>
      <c r="K14" t="s">
        <v>12</v>
      </c>
      <c r="L14">
        <v>8192</v>
      </c>
      <c r="M14">
        <f t="shared" si="0"/>
        <v>3.3876195957418457E-3</v>
      </c>
      <c r="N14" s="1">
        <f t="shared" si="1"/>
        <v>4.9622030928730954E-7</v>
      </c>
      <c r="O14">
        <v>6</v>
      </c>
    </row>
    <row r="15" spans="1:15" x14ac:dyDescent="0.35">
      <c r="A15">
        <v>13</v>
      </c>
      <c r="B15">
        <v>1</v>
      </c>
      <c r="C15">
        <v>13</v>
      </c>
      <c r="D15">
        <v>27</v>
      </c>
      <c r="E15">
        <v>7</v>
      </c>
      <c r="F15">
        <v>47</v>
      </c>
      <c r="G15">
        <v>27.870194911956698</v>
      </c>
      <c r="H15" s="6">
        <v>3.90219688415527E-3</v>
      </c>
      <c r="I15" s="2" t="s">
        <v>46</v>
      </c>
      <c r="J15" t="s">
        <v>47</v>
      </c>
      <c r="K15" t="s">
        <v>12</v>
      </c>
      <c r="L15">
        <v>8192</v>
      </c>
      <c r="M15">
        <f t="shared" si="0"/>
        <v>3.4021234023384641E-3</v>
      </c>
      <c r="N15" s="1">
        <f t="shared" si="1"/>
        <v>4.763423930853601E-7</v>
      </c>
      <c r="O15">
        <v>4</v>
      </c>
    </row>
    <row r="16" spans="1:15" x14ac:dyDescent="0.35">
      <c r="A16">
        <v>13</v>
      </c>
      <c r="B16">
        <v>1</v>
      </c>
      <c r="C16">
        <v>17</v>
      </c>
      <c r="D16">
        <v>27</v>
      </c>
      <c r="E16">
        <v>6</v>
      </c>
      <c r="F16">
        <v>50</v>
      </c>
      <c r="G16">
        <v>29.445108890533401</v>
      </c>
      <c r="H16" s="6">
        <v>3.7899017333984301E-3</v>
      </c>
      <c r="I16" s="2" t="s">
        <v>48</v>
      </c>
      <c r="J16" t="s">
        <v>49</v>
      </c>
      <c r="K16" t="s">
        <v>12</v>
      </c>
      <c r="L16">
        <v>8192</v>
      </c>
      <c r="M16">
        <f t="shared" si="0"/>
        <v>3.5943736438639406E-3</v>
      </c>
      <c r="N16" s="1">
        <f t="shared" si="1"/>
        <v>4.6263448894023805E-7</v>
      </c>
      <c r="O16">
        <v>5</v>
      </c>
    </row>
    <row r="17" spans="1:15" x14ac:dyDescent="0.35">
      <c r="A17">
        <v>13</v>
      </c>
      <c r="B17">
        <v>1</v>
      </c>
      <c r="C17">
        <v>17</v>
      </c>
      <c r="D17">
        <v>27</v>
      </c>
      <c r="E17">
        <v>5</v>
      </c>
      <c r="F17">
        <v>49</v>
      </c>
      <c r="G17">
        <v>27.334182262420601</v>
      </c>
      <c r="H17" s="6">
        <v>3.64518165588378E-3</v>
      </c>
      <c r="I17" s="2" t="s">
        <v>50</v>
      </c>
      <c r="J17" t="s">
        <v>51</v>
      </c>
      <c r="K17" t="s">
        <v>12</v>
      </c>
      <c r="L17">
        <v>8192</v>
      </c>
      <c r="M17">
        <f t="shared" si="0"/>
        <v>3.3366921707056398E-3</v>
      </c>
      <c r="N17" s="1">
        <f t="shared" si="1"/>
        <v>4.4496846385300048E-7</v>
      </c>
      <c r="O17">
        <v>2</v>
      </c>
    </row>
    <row r="18" spans="1:15" x14ac:dyDescent="0.35">
      <c r="A18">
        <v>13</v>
      </c>
      <c r="B18">
        <v>1</v>
      </c>
      <c r="C18">
        <v>17</v>
      </c>
      <c r="D18">
        <v>27</v>
      </c>
      <c r="E18">
        <v>5</v>
      </c>
      <c r="F18">
        <v>49</v>
      </c>
      <c r="G18">
        <v>27.860572576522799</v>
      </c>
      <c r="H18" s="6">
        <v>3.7531852722167899E-3</v>
      </c>
      <c r="I18" s="2" t="s">
        <v>52</v>
      </c>
      <c r="J18" t="s">
        <v>53</v>
      </c>
      <c r="K18" t="s">
        <v>12</v>
      </c>
      <c r="L18">
        <v>8192</v>
      </c>
      <c r="M18">
        <f t="shared" si="0"/>
        <v>3.4009488008450682E-3</v>
      </c>
      <c r="N18" s="1">
        <f t="shared" si="1"/>
        <v>4.5815249904990112E-7</v>
      </c>
      <c r="O18">
        <v>3</v>
      </c>
    </row>
    <row r="19" spans="1:15" x14ac:dyDescent="0.35">
      <c r="A19">
        <v>13</v>
      </c>
      <c r="B19">
        <v>1</v>
      </c>
      <c r="C19">
        <v>15</v>
      </c>
      <c r="D19">
        <v>27</v>
      </c>
      <c r="E19">
        <v>8</v>
      </c>
      <c r="F19">
        <v>50</v>
      </c>
      <c r="G19">
        <v>27.569222927093499</v>
      </c>
      <c r="H19" s="6">
        <v>3.2849311828613199E-3</v>
      </c>
      <c r="I19" s="2" t="s">
        <v>54</v>
      </c>
      <c r="J19" t="s">
        <v>55</v>
      </c>
      <c r="K19" t="s">
        <v>12</v>
      </c>
      <c r="L19">
        <v>8192</v>
      </c>
      <c r="M19">
        <f t="shared" si="0"/>
        <v>3.3653836580924681E-3</v>
      </c>
      <c r="N19" s="1">
        <f t="shared" si="1"/>
        <v>4.0099257603287596E-7</v>
      </c>
      <c r="O19">
        <v>8</v>
      </c>
    </row>
    <row r="20" spans="1:15" x14ac:dyDescent="0.35">
      <c r="A20">
        <v>13</v>
      </c>
      <c r="B20">
        <v>1</v>
      </c>
      <c r="C20">
        <v>15</v>
      </c>
      <c r="D20">
        <v>27</v>
      </c>
      <c r="E20">
        <v>9</v>
      </c>
      <c r="F20">
        <v>51</v>
      </c>
      <c r="G20">
        <v>28.491176128387401</v>
      </c>
      <c r="H20" s="6">
        <v>3.7300586700439401E-3</v>
      </c>
      <c r="I20" s="2" t="s">
        <v>26</v>
      </c>
      <c r="J20" t="s">
        <v>56</v>
      </c>
      <c r="K20" t="s">
        <v>12</v>
      </c>
      <c r="L20">
        <v>8192</v>
      </c>
      <c r="M20">
        <f t="shared" si="0"/>
        <v>3.4779267734847902E-3</v>
      </c>
      <c r="N20" s="1">
        <f t="shared" si="1"/>
        <v>4.5532942749559816E-7</v>
      </c>
      <c r="O20">
        <v>5</v>
      </c>
    </row>
    <row r="21" spans="1:15" x14ac:dyDescent="0.35">
      <c r="A21">
        <v>13</v>
      </c>
      <c r="B21">
        <v>1</v>
      </c>
      <c r="C21">
        <v>15</v>
      </c>
      <c r="D21">
        <v>27</v>
      </c>
      <c r="E21">
        <v>6</v>
      </c>
      <c r="F21">
        <v>48</v>
      </c>
      <c r="G21">
        <v>27.282207965850802</v>
      </c>
      <c r="H21" s="6">
        <v>4.1415691375732396E-3</v>
      </c>
      <c r="I21" s="2" t="s">
        <v>57</v>
      </c>
      <c r="J21" t="s">
        <v>58</v>
      </c>
      <c r="K21" t="s">
        <v>12</v>
      </c>
      <c r="L21">
        <v>8192</v>
      </c>
      <c r="M21">
        <f t="shared" si="0"/>
        <v>3.3303476520813967E-3</v>
      </c>
      <c r="N21" s="1">
        <f t="shared" si="1"/>
        <v>5.0556263886392085E-7</v>
      </c>
      <c r="O21">
        <v>2</v>
      </c>
    </row>
    <row r="22" spans="1:15" x14ac:dyDescent="0.35">
      <c r="A22">
        <v>13</v>
      </c>
      <c r="B22">
        <v>0</v>
      </c>
      <c r="C22">
        <v>1</v>
      </c>
      <c r="D22">
        <v>27</v>
      </c>
      <c r="E22">
        <v>0</v>
      </c>
      <c r="F22">
        <v>28</v>
      </c>
      <c r="G22">
        <v>26.346103668212798</v>
      </c>
      <c r="H22" s="6">
        <v>3.7109851837158199E-3</v>
      </c>
      <c r="I22" s="2" t="s">
        <v>59</v>
      </c>
      <c r="J22" t="s">
        <v>59</v>
      </c>
      <c r="K22" t="s">
        <v>12</v>
      </c>
      <c r="L22">
        <v>8192</v>
      </c>
      <c r="M22">
        <f t="shared" si="0"/>
        <v>3.2160771079361326E-3</v>
      </c>
      <c r="N22" s="1">
        <f t="shared" si="1"/>
        <v>4.5300112105906004E-7</v>
      </c>
      <c r="O22">
        <v>0</v>
      </c>
    </row>
    <row r="23" spans="1:15" x14ac:dyDescent="0.35">
      <c r="A23">
        <v>13</v>
      </c>
      <c r="B23">
        <v>0</v>
      </c>
      <c r="C23">
        <v>2</v>
      </c>
      <c r="D23">
        <v>27</v>
      </c>
      <c r="E23">
        <v>0</v>
      </c>
      <c r="F23">
        <v>29</v>
      </c>
      <c r="G23">
        <v>28.427225828170702</v>
      </c>
      <c r="H23" s="6">
        <v>2.6819705963134701E-3</v>
      </c>
      <c r="I23" s="2" t="s">
        <v>59</v>
      </c>
      <c r="J23" t="s">
        <v>59</v>
      </c>
      <c r="K23" t="s">
        <v>12</v>
      </c>
      <c r="L23">
        <v>8192</v>
      </c>
      <c r="M23">
        <f t="shared" si="0"/>
        <v>3.4701203403528689E-3</v>
      </c>
      <c r="N23" s="1">
        <f t="shared" si="1"/>
        <v>3.2738898880779664E-7</v>
      </c>
      <c r="O23">
        <v>0</v>
      </c>
    </row>
    <row r="24" spans="1:15" x14ac:dyDescent="0.35">
      <c r="A24">
        <v>12</v>
      </c>
      <c r="B24">
        <v>1</v>
      </c>
      <c r="C24">
        <v>5</v>
      </c>
      <c r="D24">
        <v>25</v>
      </c>
      <c r="E24">
        <v>5</v>
      </c>
      <c r="F24">
        <v>35</v>
      </c>
      <c r="G24">
        <v>26.791011810302699</v>
      </c>
      <c r="H24" s="6">
        <v>2.4137496948242101E-3</v>
      </c>
      <c r="I24" s="2" t="s">
        <v>60</v>
      </c>
      <c r="J24" t="s">
        <v>61</v>
      </c>
      <c r="K24" t="s">
        <v>12</v>
      </c>
      <c r="L24">
        <v>8192</v>
      </c>
      <c r="M24">
        <f t="shared" si="0"/>
        <v>3.2703871838748412E-3</v>
      </c>
      <c r="N24" s="1">
        <f t="shared" si="1"/>
        <v>2.9464717954397096E-7</v>
      </c>
      <c r="O24">
        <v>1</v>
      </c>
    </row>
    <row r="25" spans="1:15" x14ac:dyDescent="0.35">
      <c r="A25">
        <v>12</v>
      </c>
      <c r="B25">
        <v>1</v>
      </c>
      <c r="C25">
        <v>5</v>
      </c>
      <c r="D25">
        <v>25</v>
      </c>
      <c r="E25">
        <v>6</v>
      </c>
      <c r="F25">
        <v>36</v>
      </c>
      <c r="G25">
        <v>26.542402267456001</v>
      </c>
      <c r="H25" s="6">
        <v>3.9172172546386701E-3</v>
      </c>
      <c r="I25" s="2" t="s">
        <v>62</v>
      </c>
      <c r="J25" t="s">
        <v>63</v>
      </c>
      <c r="K25" t="s">
        <v>12</v>
      </c>
      <c r="L25">
        <v>8192</v>
      </c>
      <c r="M25">
        <f t="shared" si="0"/>
        <v>3.2400393392890627E-3</v>
      </c>
      <c r="N25" s="1">
        <f t="shared" si="1"/>
        <v>4.7817593440413454E-7</v>
      </c>
      <c r="O25">
        <v>3</v>
      </c>
    </row>
    <row r="26" spans="1:15" x14ac:dyDescent="0.35">
      <c r="A26">
        <v>12</v>
      </c>
      <c r="B26">
        <v>1</v>
      </c>
      <c r="C26">
        <v>5</v>
      </c>
      <c r="D26">
        <v>25</v>
      </c>
      <c r="E26">
        <v>7</v>
      </c>
      <c r="F26">
        <v>37</v>
      </c>
      <c r="G26">
        <v>27.3386130332946</v>
      </c>
      <c r="H26" s="6">
        <v>3.42559814453125E-3</v>
      </c>
      <c r="I26" s="2" t="s">
        <v>28</v>
      </c>
      <c r="J26" t="s">
        <v>64</v>
      </c>
      <c r="K26" t="s">
        <v>12</v>
      </c>
      <c r="L26">
        <v>8192</v>
      </c>
      <c r="M26">
        <f t="shared" si="0"/>
        <v>3.3372330362908447E-3</v>
      </c>
      <c r="N26" s="1">
        <f t="shared" si="1"/>
        <v>4.1816383600234985E-7</v>
      </c>
      <c r="O26">
        <v>5</v>
      </c>
    </row>
    <row r="27" spans="1:15" x14ac:dyDescent="0.35">
      <c r="A27">
        <v>12</v>
      </c>
      <c r="B27">
        <v>1</v>
      </c>
      <c r="C27">
        <v>11</v>
      </c>
      <c r="D27">
        <v>25</v>
      </c>
      <c r="E27">
        <v>4</v>
      </c>
      <c r="F27">
        <v>40</v>
      </c>
      <c r="G27">
        <v>25.7848477363586</v>
      </c>
      <c r="H27" s="6">
        <v>3.4503936767578099E-3</v>
      </c>
      <c r="I27" s="2" t="s">
        <v>27</v>
      </c>
      <c r="J27" t="s">
        <v>65</v>
      </c>
      <c r="K27" t="s">
        <v>12</v>
      </c>
      <c r="L27">
        <v>8192</v>
      </c>
      <c r="M27">
        <f t="shared" si="0"/>
        <v>3.1475644209422119E-3</v>
      </c>
      <c r="N27" s="1">
        <f t="shared" si="1"/>
        <v>4.2119063436984984E-7</v>
      </c>
      <c r="O27">
        <v>3</v>
      </c>
    </row>
    <row r="28" spans="1:15" x14ac:dyDescent="0.35">
      <c r="A28">
        <v>12</v>
      </c>
      <c r="B28">
        <v>1</v>
      </c>
      <c r="C28">
        <v>11</v>
      </c>
      <c r="D28">
        <v>25</v>
      </c>
      <c r="E28">
        <v>8</v>
      </c>
      <c r="F28">
        <v>44</v>
      </c>
      <c r="G28">
        <v>26.329100608825598</v>
      </c>
      <c r="H28" s="6">
        <v>3.3929347991943299E-3</v>
      </c>
      <c r="I28" s="2" t="s">
        <v>66</v>
      </c>
      <c r="J28" t="s">
        <v>67</v>
      </c>
      <c r="K28" t="s">
        <v>12</v>
      </c>
      <c r="L28">
        <v>8192</v>
      </c>
      <c r="M28">
        <f t="shared" si="0"/>
        <v>3.214001539163281E-3</v>
      </c>
      <c r="N28" s="1">
        <f t="shared" si="1"/>
        <v>4.1417661122977659E-7</v>
      </c>
      <c r="O28">
        <v>4</v>
      </c>
    </row>
    <row r="29" spans="1:15" x14ac:dyDescent="0.35">
      <c r="A29">
        <v>12</v>
      </c>
      <c r="B29">
        <v>1</v>
      </c>
      <c r="C29">
        <v>11</v>
      </c>
      <c r="D29">
        <v>25</v>
      </c>
      <c r="E29">
        <v>5</v>
      </c>
      <c r="F29">
        <v>41</v>
      </c>
      <c r="G29">
        <v>26.380429267883301</v>
      </c>
      <c r="H29" s="6">
        <v>3.51309776306152E-3</v>
      </c>
      <c r="I29" s="2" t="s">
        <v>68</v>
      </c>
      <c r="J29" t="s">
        <v>69</v>
      </c>
      <c r="K29" t="s">
        <v>12</v>
      </c>
      <c r="L29">
        <v>8192</v>
      </c>
      <c r="M29">
        <f t="shared" si="0"/>
        <v>3.2202672446146607E-3</v>
      </c>
      <c r="N29" s="1">
        <f t="shared" si="1"/>
        <v>4.288449417799707E-7</v>
      </c>
      <c r="O29">
        <v>6</v>
      </c>
    </row>
    <row r="30" spans="1:15" x14ac:dyDescent="0.35">
      <c r="A30">
        <v>12</v>
      </c>
      <c r="B30">
        <v>1</v>
      </c>
      <c r="C30">
        <v>15</v>
      </c>
      <c r="D30">
        <v>25</v>
      </c>
      <c r="E30">
        <v>11</v>
      </c>
      <c r="F30">
        <v>51</v>
      </c>
      <c r="G30">
        <v>28.5012335777282</v>
      </c>
      <c r="H30" s="6">
        <v>3.00431251525878E-3</v>
      </c>
      <c r="I30" s="2" t="s">
        <v>70</v>
      </c>
      <c r="J30" t="s">
        <v>71</v>
      </c>
      <c r="K30" t="s">
        <v>12</v>
      </c>
      <c r="L30">
        <v>8192</v>
      </c>
      <c r="M30">
        <f t="shared" si="0"/>
        <v>3.4791544894687745E-3</v>
      </c>
      <c r="N30" s="1">
        <f t="shared" si="1"/>
        <v>3.6673736758530029E-7</v>
      </c>
      <c r="O30">
        <v>9</v>
      </c>
    </row>
    <row r="31" spans="1:15" x14ac:dyDescent="0.35">
      <c r="A31">
        <v>12</v>
      </c>
      <c r="B31">
        <v>1</v>
      </c>
      <c r="C31">
        <v>15</v>
      </c>
      <c r="D31">
        <v>25</v>
      </c>
      <c r="E31">
        <v>4</v>
      </c>
      <c r="F31">
        <v>44</v>
      </c>
      <c r="G31">
        <v>26.333423137664699</v>
      </c>
      <c r="H31" s="6">
        <v>4.1737556457519497E-3</v>
      </c>
      <c r="I31" s="2" t="s">
        <v>72</v>
      </c>
      <c r="J31" t="s">
        <v>73</v>
      </c>
      <c r="K31" t="s">
        <v>12</v>
      </c>
      <c r="L31">
        <v>8192</v>
      </c>
      <c r="M31">
        <f t="shared" si="0"/>
        <v>3.2145291916094603E-3</v>
      </c>
      <c r="N31" s="1">
        <f t="shared" si="1"/>
        <v>5.0949165597557979E-7</v>
      </c>
      <c r="O31">
        <v>2</v>
      </c>
    </row>
    <row r="32" spans="1:15" x14ac:dyDescent="0.35">
      <c r="A32">
        <v>12</v>
      </c>
      <c r="B32">
        <v>1</v>
      </c>
      <c r="C32">
        <v>15</v>
      </c>
      <c r="D32">
        <v>25</v>
      </c>
      <c r="E32">
        <v>6</v>
      </c>
      <c r="F32">
        <v>46</v>
      </c>
      <c r="G32">
        <v>26.724931478500299</v>
      </c>
      <c r="H32" s="6">
        <v>3.4892559051513598E-3</v>
      </c>
      <c r="I32" s="2" t="s">
        <v>74</v>
      </c>
      <c r="J32" t="s">
        <v>75</v>
      </c>
      <c r="K32" t="s">
        <v>12</v>
      </c>
      <c r="L32">
        <v>8192</v>
      </c>
      <c r="M32">
        <f t="shared" si="0"/>
        <v>3.2623207371216185E-3</v>
      </c>
      <c r="N32" s="1">
        <f t="shared" si="1"/>
        <v>4.2593455873429685E-7</v>
      </c>
      <c r="O32">
        <v>2</v>
      </c>
    </row>
    <row r="33" spans="1:15" x14ac:dyDescent="0.35">
      <c r="A33">
        <v>12</v>
      </c>
      <c r="B33">
        <v>0</v>
      </c>
      <c r="C33">
        <v>1</v>
      </c>
      <c r="D33">
        <v>25</v>
      </c>
      <c r="E33">
        <v>0</v>
      </c>
      <c r="F33">
        <v>26</v>
      </c>
      <c r="G33">
        <v>25.685746908187799</v>
      </c>
      <c r="H33" s="6">
        <v>2.1393299102783199E-3</v>
      </c>
      <c r="I33" s="2" t="s">
        <v>76</v>
      </c>
      <c r="J33" t="s">
        <v>76</v>
      </c>
      <c r="K33" t="s">
        <v>12</v>
      </c>
      <c r="L33">
        <v>8192</v>
      </c>
      <c r="M33">
        <f t="shared" si="0"/>
        <v>3.1354671518783934E-3</v>
      </c>
      <c r="N33" s="1">
        <f t="shared" si="1"/>
        <v>2.6114867068827147E-7</v>
      </c>
      <c r="O33">
        <v>0</v>
      </c>
    </row>
    <row r="34" spans="1:15" x14ac:dyDescent="0.35">
      <c r="A34">
        <v>12</v>
      </c>
      <c r="B34">
        <v>0</v>
      </c>
      <c r="C34">
        <v>2</v>
      </c>
      <c r="D34">
        <v>25</v>
      </c>
      <c r="E34">
        <v>0</v>
      </c>
      <c r="F34">
        <v>27</v>
      </c>
      <c r="G34">
        <v>27.185511112213099</v>
      </c>
      <c r="H34" s="6">
        <v>2.1812915802001901E-3</v>
      </c>
      <c r="I34" s="2" t="s">
        <v>76</v>
      </c>
      <c r="J34" t="s">
        <v>76</v>
      </c>
      <c r="K34" t="s">
        <v>12</v>
      </c>
      <c r="L34">
        <v>8192</v>
      </c>
      <c r="M34">
        <f t="shared" ref="M34:M65" si="2">G34/L34</f>
        <v>3.3185438369400756E-3</v>
      </c>
      <c r="N34" s="1">
        <f t="shared" ref="N34:N65" si="3">H34/L34</f>
        <v>2.6627094484865602E-7</v>
      </c>
      <c r="O34">
        <v>0</v>
      </c>
    </row>
    <row r="35" spans="1:15" x14ac:dyDescent="0.35">
      <c r="A35">
        <v>11</v>
      </c>
      <c r="B35">
        <v>1</v>
      </c>
      <c r="C35">
        <v>7</v>
      </c>
      <c r="D35">
        <v>23</v>
      </c>
      <c r="E35">
        <v>7</v>
      </c>
      <c r="F35">
        <v>37</v>
      </c>
      <c r="G35">
        <v>25.711834669113099</v>
      </c>
      <c r="H35" s="6">
        <v>2.6412010192870998E-3</v>
      </c>
      <c r="I35" s="2" t="s">
        <v>77</v>
      </c>
      <c r="J35" t="s">
        <v>78</v>
      </c>
      <c r="K35" t="s">
        <v>12</v>
      </c>
      <c r="L35">
        <v>8192</v>
      </c>
      <c r="M35">
        <f t="shared" si="2"/>
        <v>3.1386516930069701E-3</v>
      </c>
      <c r="N35" s="1">
        <f t="shared" si="3"/>
        <v>3.224122337996948E-7</v>
      </c>
      <c r="O35">
        <v>2</v>
      </c>
    </row>
    <row r="36" spans="1:15" x14ac:dyDescent="0.35">
      <c r="A36">
        <v>11</v>
      </c>
      <c r="B36">
        <v>1</v>
      </c>
      <c r="C36">
        <v>7</v>
      </c>
      <c r="D36">
        <v>23</v>
      </c>
      <c r="E36">
        <v>5</v>
      </c>
      <c r="F36">
        <v>35</v>
      </c>
      <c r="G36">
        <v>25.611461877822801</v>
      </c>
      <c r="H36" s="6">
        <v>2.4409294128417899E-3</v>
      </c>
      <c r="I36" s="2" t="s">
        <v>79</v>
      </c>
      <c r="J36" t="s">
        <v>80</v>
      </c>
      <c r="K36" t="s">
        <v>12</v>
      </c>
      <c r="L36">
        <v>8192</v>
      </c>
      <c r="M36">
        <f t="shared" si="2"/>
        <v>3.1263991550076662E-3</v>
      </c>
      <c r="N36" s="1">
        <f t="shared" si="3"/>
        <v>2.9796501621603881E-7</v>
      </c>
      <c r="O36">
        <v>2</v>
      </c>
    </row>
    <row r="37" spans="1:15" x14ac:dyDescent="0.35">
      <c r="A37">
        <v>11</v>
      </c>
      <c r="B37">
        <v>1</v>
      </c>
      <c r="C37">
        <v>7</v>
      </c>
      <c r="D37">
        <v>23</v>
      </c>
      <c r="E37">
        <v>4</v>
      </c>
      <c r="F37">
        <v>34</v>
      </c>
      <c r="G37">
        <v>25.5756816864013</v>
      </c>
      <c r="H37" s="6">
        <v>2.3989677429199201E-3</v>
      </c>
      <c r="I37" s="2" t="s">
        <v>81</v>
      </c>
      <c r="J37" t="s">
        <v>82</v>
      </c>
      <c r="K37" t="s">
        <v>12</v>
      </c>
      <c r="L37">
        <v>8192</v>
      </c>
      <c r="M37">
        <f t="shared" si="2"/>
        <v>3.1220314558595337E-3</v>
      </c>
      <c r="N37" s="1">
        <f t="shared" si="3"/>
        <v>2.9284274205565431E-7</v>
      </c>
      <c r="O37">
        <v>1</v>
      </c>
    </row>
    <row r="38" spans="1:15" x14ac:dyDescent="0.35">
      <c r="A38">
        <v>11</v>
      </c>
      <c r="B38">
        <v>1</v>
      </c>
      <c r="C38">
        <v>17</v>
      </c>
      <c r="D38">
        <v>23</v>
      </c>
      <c r="E38">
        <v>5</v>
      </c>
      <c r="F38">
        <v>45</v>
      </c>
      <c r="G38">
        <v>25.543077230453399</v>
      </c>
      <c r="H38" s="6">
        <v>3.4959316253662101E-3</v>
      </c>
      <c r="I38" s="2" t="s">
        <v>83</v>
      </c>
      <c r="J38" t="s">
        <v>84</v>
      </c>
      <c r="K38" t="s">
        <v>12</v>
      </c>
      <c r="L38">
        <v>8192</v>
      </c>
      <c r="M38">
        <f t="shared" si="2"/>
        <v>3.1180514197330809E-3</v>
      </c>
      <c r="N38" s="1">
        <f t="shared" si="3"/>
        <v>4.2674946598708619E-7</v>
      </c>
      <c r="O38">
        <v>4</v>
      </c>
    </row>
    <row r="39" spans="1:15" x14ac:dyDescent="0.35">
      <c r="A39">
        <v>11</v>
      </c>
      <c r="B39">
        <v>1</v>
      </c>
      <c r="C39">
        <v>17</v>
      </c>
      <c r="D39">
        <v>23</v>
      </c>
      <c r="E39">
        <v>5</v>
      </c>
      <c r="F39">
        <v>45</v>
      </c>
      <c r="G39">
        <v>26.1584725379943</v>
      </c>
      <c r="H39" s="6">
        <v>3.6382675170898398E-3</v>
      </c>
      <c r="I39" s="2" t="s">
        <v>85</v>
      </c>
      <c r="J39" t="s">
        <v>86</v>
      </c>
      <c r="K39" t="s">
        <v>12</v>
      </c>
      <c r="L39">
        <v>8192</v>
      </c>
      <c r="M39">
        <f t="shared" si="2"/>
        <v>3.1931729172356323E-3</v>
      </c>
      <c r="N39" s="1">
        <f t="shared" si="3"/>
        <v>4.4412445276975584E-7</v>
      </c>
      <c r="O39">
        <v>3</v>
      </c>
    </row>
    <row r="40" spans="1:15" x14ac:dyDescent="0.35">
      <c r="A40">
        <v>11</v>
      </c>
      <c r="B40">
        <v>1</v>
      </c>
      <c r="C40">
        <v>17</v>
      </c>
      <c r="D40">
        <v>23</v>
      </c>
      <c r="E40">
        <v>4</v>
      </c>
      <c r="F40">
        <v>44</v>
      </c>
      <c r="G40">
        <v>25.616200685501099</v>
      </c>
      <c r="H40" s="6">
        <v>4.1670799255370998E-3</v>
      </c>
      <c r="I40" s="2" t="s">
        <v>87</v>
      </c>
      <c r="J40" t="s">
        <v>88</v>
      </c>
      <c r="K40" t="s">
        <v>12</v>
      </c>
      <c r="L40">
        <v>8192</v>
      </c>
      <c r="M40">
        <f t="shared" si="2"/>
        <v>3.1269776227418333E-3</v>
      </c>
      <c r="N40" s="1">
        <f t="shared" si="3"/>
        <v>5.0867674872279051E-7</v>
      </c>
      <c r="O40">
        <v>4</v>
      </c>
    </row>
    <row r="41" spans="1:15" x14ac:dyDescent="0.35">
      <c r="A41">
        <v>11</v>
      </c>
      <c r="B41">
        <v>1</v>
      </c>
      <c r="C41">
        <v>9</v>
      </c>
      <c r="D41">
        <v>23</v>
      </c>
      <c r="E41">
        <v>8</v>
      </c>
      <c r="F41">
        <v>40</v>
      </c>
      <c r="G41">
        <v>25.9583353996276</v>
      </c>
      <c r="H41" s="6">
        <v>4.2970180511474601E-3</v>
      </c>
      <c r="I41" s="2" t="s">
        <v>89</v>
      </c>
      <c r="J41" t="s">
        <v>90</v>
      </c>
      <c r="K41" t="s">
        <v>12</v>
      </c>
      <c r="L41">
        <v>8192</v>
      </c>
      <c r="M41">
        <f t="shared" si="2"/>
        <v>3.1687421142123536E-3</v>
      </c>
      <c r="N41" s="1">
        <f t="shared" si="3"/>
        <v>5.2453833632171143E-7</v>
      </c>
      <c r="O41">
        <v>5</v>
      </c>
    </row>
    <row r="42" spans="1:15" x14ac:dyDescent="0.35">
      <c r="A42">
        <v>11</v>
      </c>
      <c r="B42">
        <v>1</v>
      </c>
      <c r="C42">
        <v>9</v>
      </c>
      <c r="D42">
        <v>23</v>
      </c>
      <c r="E42">
        <v>3</v>
      </c>
      <c r="F42">
        <v>35</v>
      </c>
      <c r="G42">
        <v>25.304114341735801</v>
      </c>
      <c r="H42" s="6">
        <v>2.8386116027832001E-3</v>
      </c>
      <c r="I42" s="2" t="s">
        <v>91</v>
      </c>
      <c r="J42" t="s">
        <v>91</v>
      </c>
      <c r="K42" t="s">
        <v>12</v>
      </c>
      <c r="L42">
        <v>8192</v>
      </c>
      <c r="M42">
        <f t="shared" si="2"/>
        <v>3.088881145231421E-3</v>
      </c>
      <c r="N42" s="1">
        <f t="shared" si="3"/>
        <v>3.465102054178711E-7</v>
      </c>
      <c r="O42">
        <v>0</v>
      </c>
    </row>
    <row r="43" spans="1:15" x14ac:dyDescent="0.35">
      <c r="A43">
        <v>11</v>
      </c>
      <c r="B43">
        <v>1</v>
      </c>
      <c r="C43">
        <v>9</v>
      </c>
      <c r="D43">
        <v>23</v>
      </c>
      <c r="E43">
        <v>6</v>
      </c>
      <c r="F43">
        <v>38</v>
      </c>
      <c r="G43">
        <v>25.900759220123199</v>
      </c>
      <c r="H43" s="6">
        <v>3.4415721893310499E-3</v>
      </c>
      <c r="I43" s="2" t="s">
        <v>92</v>
      </c>
      <c r="J43" t="s">
        <v>93</v>
      </c>
      <c r="K43" t="s">
        <v>12</v>
      </c>
      <c r="L43">
        <v>8192</v>
      </c>
      <c r="M43">
        <f t="shared" si="2"/>
        <v>3.1617137719876951E-3</v>
      </c>
      <c r="N43" s="1">
        <f t="shared" si="3"/>
        <v>4.2011379264295043E-7</v>
      </c>
      <c r="O43">
        <v>3</v>
      </c>
    </row>
    <row r="44" spans="1:15" x14ac:dyDescent="0.35">
      <c r="A44">
        <v>11</v>
      </c>
      <c r="B44">
        <v>0</v>
      </c>
      <c r="C44">
        <v>1</v>
      </c>
      <c r="D44">
        <v>23</v>
      </c>
      <c r="E44">
        <v>0</v>
      </c>
      <c r="F44">
        <v>24</v>
      </c>
      <c r="G44">
        <v>25.621778011322</v>
      </c>
      <c r="H44" s="6">
        <v>3.65447998046875E-3</v>
      </c>
      <c r="I44" s="2" t="s">
        <v>94</v>
      </c>
      <c r="J44" t="s">
        <v>94</v>
      </c>
      <c r="K44" t="s">
        <v>12</v>
      </c>
      <c r="L44">
        <v>8192</v>
      </c>
      <c r="M44">
        <f t="shared" si="2"/>
        <v>3.1276584486477051E-3</v>
      </c>
      <c r="N44" s="1">
        <f t="shared" si="3"/>
        <v>4.4610351324081421E-7</v>
      </c>
      <c r="O44">
        <v>0</v>
      </c>
    </row>
    <row r="45" spans="1:15" x14ac:dyDescent="0.35">
      <c r="A45">
        <v>11</v>
      </c>
      <c r="B45">
        <v>0</v>
      </c>
      <c r="C45">
        <v>2</v>
      </c>
      <c r="D45">
        <v>23</v>
      </c>
      <c r="E45">
        <v>0</v>
      </c>
      <c r="F45">
        <v>25</v>
      </c>
      <c r="G45">
        <v>25.3194918632507</v>
      </c>
      <c r="H45" s="6">
        <v>2.2430419921875E-3</v>
      </c>
      <c r="I45" s="2" t="s">
        <v>94</v>
      </c>
      <c r="J45" t="s">
        <v>94</v>
      </c>
      <c r="K45" t="s">
        <v>12</v>
      </c>
      <c r="L45">
        <v>8192</v>
      </c>
      <c r="M45">
        <f t="shared" si="2"/>
        <v>3.0907582840882203E-3</v>
      </c>
      <c r="N45" s="1">
        <f t="shared" si="3"/>
        <v>2.7380883693695068E-7</v>
      </c>
      <c r="O45">
        <v>0</v>
      </c>
    </row>
    <row r="46" spans="1:15" x14ac:dyDescent="0.35">
      <c r="A46">
        <v>10</v>
      </c>
      <c r="B46">
        <v>1</v>
      </c>
      <c r="C46">
        <v>11</v>
      </c>
      <c r="D46">
        <v>21</v>
      </c>
      <c r="E46">
        <v>8</v>
      </c>
      <c r="F46">
        <v>40</v>
      </c>
      <c r="G46">
        <v>25.141736984252901</v>
      </c>
      <c r="H46" s="6">
        <v>2.5651454925537101E-3</v>
      </c>
      <c r="I46" s="2" t="s">
        <v>95</v>
      </c>
      <c r="J46" t="s">
        <v>96</v>
      </c>
      <c r="K46" t="s">
        <v>12</v>
      </c>
      <c r="L46">
        <v>8192</v>
      </c>
      <c r="M46">
        <f t="shared" si="2"/>
        <v>3.0690596904605592E-3</v>
      </c>
      <c r="N46" s="1">
        <f t="shared" si="3"/>
        <v>3.1312811188399781E-7</v>
      </c>
      <c r="O46">
        <v>7</v>
      </c>
    </row>
    <row r="47" spans="1:15" x14ac:dyDescent="0.35">
      <c r="A47">
        <v>10</v>
      </c>
      <c r="B47">
        <v>1</v>
      </c>
      <c r="C47">
        <v>11</v>
      </c>
      <c r="D47">
        <v>21</v>
      </c>
      <c r="E47">
        <v>6</v>
      </c>
      <c r="F47">
        <v>38</v>
      </c>
      <c r="G47">
        <v>25.1153063774108</v>
      </c>
      <c r="H47" s="6">
        <v>2.50768661499023E-3</v>
      </c>
      <c r="I47" s="2" t="s">
        <v>97</v>
      </c>
      <c r="J47" t="s">
        <v>98</v>
      </c>
      <c r="K47" t="s">
        <v>12</v>
      </c>
      <c r="L47">
        <v>8192</v>
      </c>
      <c r="M47">
        <f t="shared" si="2"/>
        <v>3.0658332980237793E-3</v>
      </c>
      <c r="N47" s="1">
        <f t="shared" si="3"/>
        <v>3.0611408874392457E-7</v>
      </c>
      <c r="O47">
        <v>2</v>
      </c>
    </row>
    <row r="48" spans="1:15" x14ac:dyDescent="0.35">
      <c r="A48">
        <v>10</v>
      </c>
      <c r="B48">
        <v>1</v>
      </c>
      <c r="C48">
        <v>11</v>
      </c>
      <c r="D48">
        <v>21</v>
      </c>
      <c r="E48">
        <v>7</v>
      </c>
      <c r="F48">
        <v>39</v>
      </c>
      <c r="G48">
        <v>25.5728614330291</v>
      </c>
      <c r="H48" s="6">
        <v>2.7208328247070299E-3</v>
      </c>
      <c r="I48" s="2" t="s">
        <v>95</v>
      </c>
      <c r="J48" t="s">
        <v>99</v>
      </c>
      <c r="K48" t="s">
        <v>12</v>
      </c>
      <c r="L48">
        <v>8192</v>
      </c>
      <c r="M48">
        <f t="shared" si="2"/>
        <v>3.1216871866490601E-3</v>
      </c>
      <c r="N48" s="1">
        <f t="shared" si="3"/>
        <v>3.3213291317224487E-7</v>
      </c>
      <c r="O48">
        <v>8</v>
      </c>
    </row>
    <row r="49" spans="1:15" x14ac:dyDescent="0.35">
      <c r="A49">
        <v>10</v>
      </c>
      <c r="B49">
        <v>1</v>
      </c>
      <c r="C49">
        <v>13</v>
      </c>
      <c r="D49">
        <v>21</v>
      </c>
      <c r="E49">
        <v>4</v>
      </c>
      <c r="F49">
        <v>38</v>
      </c>
      <c r="G49">
        <v>25.255096673965401</v>
      </c>
      <c r="H49" s="6">
        <v>2.427339553833E-3</v>
      </c>
      <c r="I49" s="2" t="s">
        <v>100</v>
      </c>
      <c r="J49" t="s">
        <v>101</v>
      </c>
      <c r="K49" t="s">
        <v>12</v>
      </c>
      <c r="L49">
        <v>8192</v>
      </c>
      <c r="M49">
        <f t="shared" si="2"/>
        <v>3.0828975432086671E-3</v>
      </c>
      <c r="N49" s="1">
        <f t="shared" si="3"/>
        <v>2.9630609788000488E-7</v>
      </c>
      <c r="O49">
        <v>1</v>
      </c>
    </row>
    <row r="50" spans="1:15" x14ac:dyDescent="0.35">
      <c r="A50">
        <v>10</v>
      </c>
      <c r="B50">
        <v>1</v>
      </c>
      <c r="C50">
        <v>13</v>
      </c>
      <c r="D50">
        <v>21</v>
      </c>
      <c r="E50">
        <v>1</v>
      </c>
      <c r="F50">
        <v>35</v>
      </c>
      <c r="G50">
        <v>25.059091806411701</v>
      </c>
      <c r="H50" s="6">
        <v>2.7782917022705E-3</v>
      </c>
      <c r="I50" s="2" t="s">
        <v>102</v>
      </c>
      <c r="J50" t="s">
        <v>102</v>
      </c>
      <c r="K50" t="s">
        <v>12</v>
      </c>
      <c r="L50">
        <v>8192</v>
      </c>
      <c r="M50">
        <f t="shared" si="2"/>
        <v>3.0589711677748658E-3</v>
      </c>
      <c r="N50" s="1">
        <f t="shared" si="3"/>
        <v>3.391469363123169E-7</v>
      </c>
      <c r="O50">
        <v>0</v>
      </c>
    </row>
    <row r="51" spans="1:15" x14ac:dyDescent="0.35">
      <c r="A51">
        <v>10</v>
      </c>
      <c r="B51">
        <v>1</v>
      </c>
      <c r="C51">
        <v>13</v>
      </c>
      <c r="D51">
        <v>21</v>
      </c>
      <c r="E51">
        <v>5</v>
      </c>
      <c r="F51">
        <v>39</v>
      </c>
      <c r="G51">
        <v>25.151455879211401</v>
      </c>
      <c r="H51" s="6">
        <v>2.5005340576171801E-3</v>
      </c>
      <c r="I51" s="2" t="s">
        <v>103</v>
      </c>
      <c r="J51" t="s">
        <v>104</v>
      </c>
      <c r="K51" t="s">
        <v>12</v>
      </c>
      <c r="L51">
        <v>8192</v>
      </c>
      <c r="M51">
        <f t="shared" si="2"/>
        <v>3.070246079005298E-3</v>
      </c>
      <c r="N51" s="1">
        <f t="shared" si="3"/>
        <v>3.0524097383022218E-7</v>
      </c>
      <c r="O51">
        <v>1</v>
      </c>
    </row>
    <row r="52" spans="1:15" x14ac:dyDescent="0.35">
      <c r="A52">
        <v>10</v>
      </c>
      <c r="B52">
        <v>1</v>
      </c>
      <c r="C52">
        <v>13</v>
      </c>
      <c r="D52">
        <v>21</v>
      </c>
      <c r="E52">
        <v>6</v>
      </c>
      <c r="F52">
        <v>40</v>
      </c>
      <c r="G52">
        <v>25.525844097137401</v>
      </c>
      <c r="H52" s="6">
        <v>3.5660266876220699E-3</v>
      </c>
      <c r="I52" s="2" t="s">
        <v>105</v>
      </c>
      <c r="J52" t="s">
        <v>106</v>
      </c>
      <c r="K52" t="s">
        <v>12</v>
      </c>
      <c r="L52">
        <v>8192</v>
      </c>
      <c r="M52">
        <f t="shared" si="2"/>
        <v>3.1159477657638429E-3</v>
      </c>
      <c r="N52" s="1">
        <f t="shared" si="3"/>
        <v>4.3530599214136595E-7</v>
      </c>
      <c r="O52">
        <v>2</v>
      </c>
    </row>
    <row r="53" spans="1:15" x14ac:dyDescent="0.35">
      <c r="A53">
        <v>10</v>
      </c>
      <c r="B53">
        <v>1</v>
      </c>
      <c r="C53">
        <v>13</v>
      </c>
      <c r="D53">
        <v>21</v>
      </c>
      <c r="E53">
        <v>5</v>
      </c>
      <c r="F53">
        <v>39</v>
      </c>
      <c r="G53">
        <v>25.639288902282701</v>
      </c>
      <c r="H53" s="6">
        <v>2.4790763854980399E-3</v>
      </c>
      <c r="I53" s="2" t="s">
        <v>107</v>
      </c>
      <c r="J53" t="s">
        <v>108</v>
      </c>
      <c r="K53" t="s">
        <v>12</v>
      </c>
      <c r="L53">
        <v>8192</v>
      </c>
      <c r="M53">
        <f t="shared" si="2"/>
        <v>3.1297960085794312E-3</v>
      </c>
      <c r="N53" s="1">
        <f t="shared" si="3"/>
        <v>3.026216290891162E-7</v>
      </c>
      <c r="O53">
        <v>4</v>
      </c>
    </row>
    <row r="54" spans="1:15" x14ac:dyDescent="0.35">
      <c r="A54">
        <v>10</v>
      </c>
      <c r="B54">
        <v>1</v>
      </c>
      <c r="C54">
        <v>13</v>
      </c>
      <c r="D54">
        <v>21</v>
      </c>
      <c r="E54">
        <v>3</v>
      </c>
      <c r="F54">
        <v>37</v>
      </c>
      <c r="G54">
        <v>24.9257409572601</v>
      </c>
      <c r="H54" s="6">
        <v>2.34818458557128E-3</v>
      </c>
      <c r="I54" s="2" t="s">
        <v>109</v>
      </c>
      <c r="J54" t="s">
        <v>109</v>
      </c>
      <c r="K54" t="s">
        <v>12</v>
      </c>
      <c r="L54">
        <v>8192</v>
      </c>
      <c r="M54">
        <f t="shared" si="2"/>
        <v>3.0426929879467895E-3</v>
      </c>
      <c r="N54" s="1">
        <f t="shared" si="3"/>
        <v>2.8664362616836914E-7</v>
      </c>
      <c r="O54">
        <v>0</v>
      </c>
    </row>
    <row r="55" spans="1:15" x14ac:dyDescent="0.35">
      <c r="A55">
        <v>10</v>
      </c>
      <c r="B55">
        <v>0</v>
      </c>
      <c r="C55">
        <v>1</v>
      </c>
      <c r="D55">
        <v>21</v>
      </c>
      <c r="E55">
        <v>0</v>
      </c>
      <c r="F55">
        <v>22</v>
      </c>
      <c r="G55">
        <v>24.694831371307298</v>
      </c>
      <c r="H55" s="6">
        <v>1.94907188415527E-3</v>
      </c>
      <c r="I55" s="2" t="s">
        <v>110</v>
      </c>
      <c r="J55" t="s">
        <v>110</v>
      </c>
      <c r="K55" t="s">
        <v>12</v>
      </c>
      <c r="L55">
        <v>8192</v>
      </c>
      <c r="M55">
        <f t="shared" si="2"/>
        <v>3.0145057826302855E-3</v>
      </c>
      <c r="N55" s="1">
        <f t="shared" si="3"/>
        <v>2.379238139837976E-7</v>
      </c>
      <c r="O55">
        <v>0</v>
      </c>
    </row>
    <row r="56" spans="1:15" x14ac:dyDescent="0.35">
      <c r="A56">
        <v>10</v>
      </c>
      <c r="B56">
        <v>0</v>
      </c>
      <c r="C56">
        <v>2</v>
      </c>
      <c r="D56">
        <v>21</v>
      </c>
      <c r="E56">
        <v>0</v>
      </c>
      <c r="F56">
        <v>23</v>
      </c>
      <c r="G56">
        <v>24.9568722248077</v>
      </c>
      <c r="H56" s="6">
        <v>2.5880336761474601E-3</v>
      </c>
      <c r="I56" s="2" t="s">
        <v>110</v>
      </c>
      <c r="J56" t="s">
        <v>110</v>
      </c>
      <c r="K56" t="s">
        <v>12</v>
      </c>
      <c r="L56">
        <v>8192</v>
      </c>
      <c r="M56">
        <f t="shared" si="2"/>
        <v>3.0464931915048462E-3</v>
      </c>
      <c r="N56" s="1">
        <f t="shared" si="3"/>
        <v>3.1592207960784425E-7</v>
      </c>
      <c r="O56">
        <v>0</v>
      </c>
    </row>
    <row r="57" spans="1:15" x14ac:dyDescent="0.35">
      <c r="A57">
        <v>9</v>
      </c>
      <c r="B57">
        <v>1</v>
      </c>
      <c r="C57">
        <v>9</v>
      </c>
      <c r="D57">
        <v>19</v>
      </c>
      <c r="E57">
        <v>4</v>
      </c>
      <c r="F57">
        <v>32</v>
      </c>
      <c r="G57">
        <v>14.5975532531738</v>
      </c>
      <c r="H57" s="6">
        <v>2.4306774139404201E-3</v>
      </c>
      <c r="I57" s="2" t="s">
        <v>111</v>
      </c>
      <c r="J57" t="s">
        <v>112</v>
      </c>
      <c r="K57" t="s">
        <v>12</v>
      </c>
      <c r="L57">
        <v>4096</v>
      </c>
      <c r="M57">
        <f t="shared" si="2"/>
        <v>3.5638557747006347E-3</v>
      </c>
      <c r="N57" s="1">
        <f t="shared" si="3"/>
        <v>5.9342710301279789E-7</v>
      </c>
      <c r="O57">
        <v>1</v>
      </c>
    </row>
    <row r="58" spans="1:15" x14ac:dyDescent="0.35">
      <c r="A58">
        <v>9</v>
      </c>
      <c r="B58">
        <v>1</v>
      </c>
      <c r="C58">
        <v>9</v>
      </c>
      <c r="D58">
        <v>19</v>
      </c>
      <c r="E58">
        <v>5</v>
      </c>
      <c r="F58">
        <v>33</v>
      </c>
      <c r="G58">
        <v>15.222301483154199</v>
      </c>
      <c r="H58" s="6">
        <v>3.2136440277099601E-3</v>
      </c>
      <c r="I58" s="2" t="s">
        <v>113</v>
      </c>
      <c r="J58" t="s">
        <v>114</v>
      </c>
      <c r="K58" t="s">
        <v>12</v>
      </c>
      <c r="L58">
        <v>4096</v>
      </c>
      <c r="M58">
        <f t="shared" si="2"/>
        <v>3.7163821980356932E-3</v>
      </c>
      <c r="N58" s="1">
        <f t="shared" si="3"/>
        <v>7.8458106145262697E-7</v>
      </c>
      <c r="O58">
        <v>3</v>
      </c>
    </row>
    <row r="59" spans="1:15" x14ac:dyDescent="0.35">
      <c r="A59">
        <v>9</v>
      </c>
      <c r="B59">
        <v>1</v>
      </c>
      <c r="C59">
        <v>9</v>
      </c>
      <c r="D59">
        <v>19</v>
      </c>
      <c r="E59">
        <v>4</v>
      </c>
      <c r="F59">
        <v>32</v>
      </c>
      <c r="G59">
        <v>14.740151643753</v>
      </c>
      <c r="H59" s="6">
        <v>2.9914379119872999E-3</v>
      </c>
      <c r="I59" s="2" t="s">
        <v>115</v>
      </c>
      <c r="J59" t="s">
        <v>116</v>
      </c>
      <c r="K59" t="s">
        <v>12</v>
      </c>
      <c r="L59">
        <v>4096</v>
      </c>
      <c r="M59">
        <f t="shared" si="2"/>
        <v>3.5986698349006348E-3</v>
      </c>
      <c r="N59" s="1">
        <f t="shared" si="3"/>
        <v>7.3033152148127439E-7</v>
      </c>
      <c r="O59">
        <v>4</v>
      </c>
    </row>
    <row r="60" spans="1:15" x14ac:dyDescent="0.35">
      <c r="A60">
        <v>9</v>
      </c>
      <c r="B60">
        <v>1</v>
      </c>
      <c r="C60">
        <v>11</v>
      </c>
      <c r="D60">
        <v>19</v>
      </c>
      <c r="E60">
        <v>4</v>
      </c>
      <c r="F60">
        <v>34</v>
      </c>
      <c r="G60">
        <v>14.666617631912199</v>
      </c>
      <c r="H60" s="6">
        <v>2.4545192718505799E-3</v>
      </c>
      <c r="I60" s="2" t="s">
        <v>115</v>
      </c>
      <c r="J60" t="s">
        <v>117</v>
      </c>
      <c r="K60" t="s">
        <v>12</v>
      </c>
      <c r="L60">
        <v>4096</v>
      </c>
      <c r="M60">
        <f t="shared" si="2"/>
        <v>3.5807171952910643E-3</v>
      </c>
      <c r="N60" s="1">
        <f t="shared" si="3"/>
        <v>5.9924786910414548E-7</v>
      </c>
      <c r="O60">
        <v>4</v>
      </c>
    </row>
    <row r="61" spans="1:15" x14ac:dyDescent="0.35">
      <c r="A61">
        <v>9</v>
      </c>
      <c r="B61">
        <v>1</v>
      </c>
      <c r="C61">
        <v>11</v>
      </c>
      <c r="D61">
        <v>19</v>
      </c>
      <c r="E61">
        <v>4</v>
      </c>
      <c r="F61">
        <v>34</v>
      </c>
      <c r="G61">
        <v>14.6945149898529</v>
      </c>
      <c r="H61" s="6">
        <v>2.4676322937011701E-3</v>
      </c>
      <c r="I61" s="2" t="s">
        <v>118</v>
      </c>
      <c r="J61" t="s">
        <v>119</v>
      </c>
      <c r="K61" t="s">
        <v>12</v>
      </c>
      <c r="L61">
        <v>4096</v>
      </c>
      <c r="M61">
        <f t="shared" si="2"/>
        <v>3.5875280736945557E-3</v>
      </c>
      <c r="N61" s="1">
        <f t="shared" si="3"/>
        <v>6.0244929045438724E-7</v>
      </c>
      <c r="O61">
        <v>1</v>
      </c>
    </row>
    <row r="62" spans="1:15" x14ac:dyDescent="0.35">
      <c r="A62">
        <v>9</v>
      </c>
      <c r="B62">
        <v>1</v>
      </c>
      <c r="C62">
        <v>11</v>
      </c>
      <c r="D62">
        <v>19</v>
      </c>
      <c r="E62">
        <v>5</v>
      </c>
      <c r="F62">
        <v>35</v>
      </c>
      <c r="G62">
        <v>14.578160524368201</v>
      </c>
      <c r="H62" s="6">
        <v>2.3844242095947201E-3</v>
      </c>
      <c r="I62" s="2" t="s">
        <v>120</v>
      </c>
      <c r="J62" t="s">
        <v>121</v>
      </c>
      <c r="K62" t="s">
        <v>12</v>
      </c>
      <c r="L62">
        <v>4096</v>
      </c>
      <c r="M62">
        <f t="shared" si="2"/>
        <v>3.5591212217695803E-3</v>
      </c>
      <c r="N62" s="1">
        <f t="shared" si="3"/>
        <v>5.8213481679558595E-7</v>
      </c>
      <c r="O62">
        <v>5</v>
      </c>
    </row>
    <row r="63" spans="1:15" x14ac:dyDescent="0.35">
      <c r="A63">
        <v>9</v>
      </c>
      <c r="B63">
        <v>1</v>
      </c>
      <c r="C63">
        <v>13</v>
      </c>
      <c r="D63">
        <v>19</v>
      </c>
      <c r="E63">
        <v>5</v>
      </c>
      <c r="F63">
        <v>37</v>
      </c>
      <c r="G63">
        <v>14.8268094062805</v>
      </c>
      <c r="H63" s="6">
        <v>2.6426315307617101E-3</v>
      </c>
      <c r="I63" s="2" t="s">
        <v>122</v>
      </c>
      <c r="J63" t="s">
        <v>114</v>
      </c>
      <c r="K63" t="s">
        <v>12</v>
      </c>
      <c r="L63">
        <v>4096</v>
      </c>
      <c r="M63">
        <f t="shared" si="2"/>
        <v>3.6198265152052002E-3</v>
      </c>
      <c r="N63" s="1">
        <f t="shared" si="3"/>
        <v>6.4517371356487062E-7</v>
      </c>
      <c r="O63">
        <v>4</v>
      </c>
    </row>
    <row r="64" spans="1:15" x14ac:dyDescent="0.35">
      <c r="A64">
        <v>9</v>
      </c>
      <c r="B64">
        <v>1</v>
      </c>
      <c r="C64">
        <v>13</v>
      </c>
      <c r="D64">
        <v>19</v>
      </c>
      <c r="E64">
        <v>2</v>
      </c>
      <c r="F64">
        <v>34</v>
      </c>
      <c r="G64">
        <v>14.701824903488101</v>
      </c>
      <c r="H64" s="6">
        <v>2.4266242980957001E-3</v>
      </c>
      <c r="I64" s="2" t="s">
        <v>123</v>
      </c>
      <c r="J64" t="s">
        <v>124</v>
      </c>
      <c r="K64" t="s">
        <v>12</v>
      </c>
      <c r="L64">
        <v>4096</v>
      </c>
      <c r="M64">
        <f t="shared" si="2"/>
        <v>3.5893127205781496E-3</v>
      </c>
      <c r="N64" s="1">
        <f t="shared" si="3"/>
        <v>5.9243757277727053E-7</v>
      </c>
      <c r="O64">
        <v>1</v>
      </c>
    </row>
    <row r="65" spans="1:15" x14ac:dyDescent="0.35">
      <c r="A65">
        <v>9</v>
      </c>
      <c r="B65">
        <v>1</v>
      </c>
      <c r="C65">
        <v>13</v>
      </c>
      <c r="D65">
        <v>19</v>
      </c>
      <c r="E65">
        <v>4</v>
      </c>
      <c r="F65">
        <v>36</v>
      </c>
      <c r="G65">
        <v>14.8522744178771</v>
      </c>
      <c r="H65" s="6">
        <v>2.4352073669433498E-3</v>
      </c>
      <c r="I65" s="2" t="s">
        <v>125</v>
      </c>
      <c r="J65" t="s">
        <v>126</v>
      </c>
      <c r="K65" t="s">
        <v>12</v>
      </c>
      <c r="L65">
        <v>4096</v>
      </c>
      <c r="M65">
        <f t="shared" si="2"/>
        <v>3.6260435590520263E-3</v>
      </c>
      <c r="N65" s="1">
        <f t="shared" si="3"/>
        <v>5.9453304857015377E-7</v>
      </c>
      <c r="O65">
        <v>1</v>
      </c>
    </row>
    <row r="66" spans="1:15" x14ac:dyDescent="0.35">
      <c r="A66">
        <v>9</v>
      </c>
      <c r="B66">
        <v>0</v>
      </c>
      <c r="C66">
        <v>1</v>
      </c>
      <c r="D66">
        <v>19</v>
      </c>
      <c r="E66">
        <v>0</v>
      </c>
      <c r="F66">
        <v>20</v>
      </c>
      <c r="G66">
        <v>14.828710556030201</v>
      </c>
      <c r="H66" s="6">
        <v>3.5495758056640599E-3</v>
      </c>
      <c r="I66" s="2" t="s">
        <v>115</v>
      </c>
      <c r="J66" t="s">
        <v>115</v>
      </c>
      <c r="K66" t="s">
        <v>12</v>
      </c>
      <c r="L66">
        <v>4096</v>
      </c>
      <c r="M66">
        <f t="shared" ref="M66:M97" si="4">G66/L66</f>
        <v>3.6202906630933107E-3</v>
      </c>
      <c r="N66" s="1">
        <f t="shared" ref="N66:N97" si="5">H66/L66</f>
        <v>8.6659565567970212E-7</v>
      </c>
      <c r="O66">
        <v>0</v>
      </c>
    </row>
    <row r="67" spans="1:15" x14ac:dyDescent="0.35">
      <c r="A67">
        <v>9</v>
      </c>
      <c r="B67">
        <v>0</v>
      </c>
      <c r="C67">
        <v>2</v>
      </c>
      <c r="D67">
        <v>19</v>
      </c>
      <c r="E67">
        <v>0</v>
      </c>
      <c r="F67">
        <v>21</v>
      </c>
      <c r="G67">
        <v>14.5822792053222</v>
      </c>
      <c r="H67" s="6">
        <v>1.8706321716308501E-3</v>
      </c>
      <c r="I67" s="2" t="s">
        <v>115</v>
      </c>
      <c r="J67" t="s">
        <v>115</v>
      </c>
      <c r="K67" t="s">
        <v>12</v>
      </c>
      <c r="L67">
        <v>4096</v>
      </c>
      <c r="M67">
        <f t="shared" si="4"/>
        <v>3.5601267591118652E-3</v>
      </c>
      <c r="N67" s="1">
        <f t="shared" si="5"/>
        <v>4.56697307527063E-7</v>
      </c>
      <c r="O67">
        <v>0</v>
      </c>
    </row>
    <row r="68" spans="1:15" x14ac:dyDescent="0.35">
      <c r="A68">
        <v>8</v>
      </c>
      <c r="B68">
        <v>1</v>
      </c>
      <c r="C68">
        <v>1</v>
      </c>
      <c r="D68">
        <v>17</v>
      </c>
      <c r="E68">
        <v>4</v>
      </c>
      <c r="F68">
        <v>22</v>
      </c>
      <c r="G68">
        <v>9.4381859302520699</v>
      </c>
      <c r="H68" s="6">
        <v>1.97362899780273E-3</v>
      </c>
      <c r="I68" s="2" t="s">
        <v>127</v>
      </c>
      <c r="J68" t="s">
        <v>128</v>
      </c>
      <c r="K68" t="s">
        <v>12</v>
      </c>
      <c r="L68">
        <v>2048</v>
      </c>
      <c r="M68">
        <f t="shared" si="4"/>
        <v>4.6084892237558935E-3</v>
      </c>
      <c r="N68" s="1">
        <f t="shared" si="5"/>
        <v>9.6368603408336428E-7</v>
      </c>
      <c r="O68">
        <v>4</v>
      </c>
    </row>
    <row r="69" spans="1:15" x14ac:dyDescent="0.35">
      <c r="A69">
        <v>8</v>
      </c>
      <c r="B69">
        <v>1</v>
      </c>
      <c r="C69">
        <v>1</v>
      </c>
      <c r="D69">
        <v>17</v>
      </c>
      <c r="E69">
        <v>4</v>
      </c>
      <c r="F69">
        <v>22</v>
      </c>
      <c r="G69">
        <v>9.3418910503387398</v>
      </c>
      <c r="H69" s="6">
        <v>1.8646717071533201E-3</v>
      </c>
      <c r="I69" s="2" t="s">
        <v>129</v>
      </c>
      <c r="J69" t="s">
        <v>130</v>
      </c>
      <c r="K69" t="s">
        <v>12</v>
      </c>
      <c r="L69">
        <v>2048</v>
      </c>
      <c r="M69">
        <f t="shared" si="4"/>
        <v>4.5614702394232128E-3</v>
      </c>
      <c r="N69" s="1">
        <f t="shared" si="5"/>
        <v>9.1048423200845708E-7</v>
      </c>
      <c r="O69">
        <v>3</v>
      </c>
    </row>
    <row r="70" spans="1:15" x14ac:dyDescent="0.35">
      <c r="A70">
        <v>8</v>
      </c>
      <c r="B70">
        <v>1</v>
      </c>
      <c r="C70">
        <v>1</v>
      </c>
      <c r="D70">
        <v>17</v>
      </c>
      <c r="E70">
        <v>4</v>
      </c>
      <c r="F70">
        <v>22</v>
      </c>
      <c r="G70">
        <v>9.3815741539001394</v>
      </c>
      <c r="H70" s="6">
        <v>2.0198822021484301E-3</v>
      </c>
      <c r="I70" s="2" t="s">
        <v>131</v>
      </c>
      <c r="J70" t="s">
        <v>132</v>
      </c>
      <c r="K70" t="s">
        <v>12</v>
      </c>
      <c r="L70">
        <v>2048</v>
      </c>
      <c r="M70">
        <f t="shared" si="4"/>
        <v>4.5808467548340524E-3</v>
      </c>
      <c r="N70" s="1">
        <f t="shared" si="5"/>
        <v>9.8627060651778815E-7</v>
      </c>
      <c r="O70">
        <v>2</v>
      </c>
    </row>
    <row r="71" spans="1:15" x14ac:dyDescent="0.35">
      <c r="A71">
        <v>8</v>
      </c>
      <c r="B71">
        <v>1</v>
      </c>
      <c r="C71">
        <v>11</v>
      </c>
      <c r="D71">
        <v>17</v>
      </c>
      <c r="E71">
        <v>4</v>
      </c>
      <c r="F71">
        <v>32</v>
      </c>
      <c r="G71">
        <v>9.1861398220062203</v>
      </c>
      <c r="H71" s="6">
        <v>2.1388530731201098E-3</v>
      </c>
      <c r="I71" s="2" t="s">
        <v>133</v>
      </c>
      <c r="J71" t="s">
        <v>134</v>
      </c>
      <c r="K71" t="s">
        <v>12</v>
      </c>
      <c r="L71">
        <v>2048</v>
      </c>
      <c r="M71">
        <f t="shared" si="4"/>
        <v>4.4854198349639747E-3</v>
      </c>
      <c r="N71" s="1">
        <f t="shared" si="5"/>
        <v>1.0443618521094286E-6</v>
      </c>
      <c r="O71">
        <v>1</v>
      </c>
    </row>
    <row r="72" spans="1:15" x14ac:dyDescent="0.35">
      <c r="A72">
        <v>8</v>
      </c>
      <c r="B72">
        <v>1</v>
      </c>
      <c r="C72">
        <v>11</v>
      </c>
      <c r="D72">
        <v>17</v>
      </c>
      <c r="E72">
        <v>4</v>
      </c>
      <c r="F72">
        <v>32</v>
      </c>
      <c r="G72">
        <v>9.2293555736541695</v>
      </c>
      <c r="H72" s="6">
        <v>2.2003650665283199E-3</v>
      </c>
      <c r="I72" s="2" t="s">
        <v>135</v>
      </c>
      <c r="J72" t="s">
        <v>135</v>
      </c>
      <c r="K72" t="s">
        <v>12</v>
      </c>
      <c r="L72">
        <v>2048</v>
      </c>
      <c r="M72">
        <f t="shared" si="4"/>
        <v>4.5065212761983249E-3</v>
      </c>
      <c r="N72" s="1">
        <f t="shared" si="5"/>
        <v>1.0743970051407812E-6</v>
      </c>
      <c r="O72">
        <v>0</v>
      </c>
    </row>
    <row r="73" spans="1:15" x14ac:dyDescent="0.35">
      <c r="A73">
        <v>8</v>
      </c>
      <c r="B73">
        <v>1</v>
      </c>
      <c r="C73">
        <v>11</v>
      </c>
      <c r="D73">
        <v>17</v>
      </c>
      <c r="E73">
        <v>3</v>
      </c>
      <c r="F73">
        <v>31</v>
      </c>
      <c r="G73">
        <v>9.2621791362762398</v>
      </c>
      <c r="H73" s="6">
        <v>2.21014022827148E-3</v>
      </c>
      <c r="I73" s="2" t="s">
        <v>21</v>
      </c>
      <c r="J73" t="s">
        <v>21</v>
      </c>
      <c r="K73" t="s">
        <v>12</v>
      </c>
      <c r="L73">
        <v>2048</v>
      </c>
      <c r="M73">
        <f t="shared" si="4"/>
        <v>4.5225484063848827E-3</v>
      </c>
      <c r="N73" s="1">
        <f t="shared" si="5"/>
        <v>1.0791700333356836E-6</v>
      </c>
      <c r="O73">
        <v>0</v>
      </c>
    </row>
    <row r="74" spans="1:15" x14ac:dyDescent="0.35">
      <c r="A74">
        <v>8</v>
      </c>
      <c r="B74">
        <v>1</v>
      </c>
      <c r="C74">
        <v>7</v>
      </c>
      <c r="D74">
        <v>17</v>
      </c>
      <c r="E74">
        <v>6</v>
      </c>
      <c r="F74">
        <v>30</v>
      </c>
      <c r="G74">
        <v>9.6695182323455793</v>
      </c>
      <c r="H74" s="6">
        <v>2.5961399078369102E-3</v>
      </c>
      <c r="I74" s="2" t="s">
        <v>136</v>
      </c>
      <c r="J74" t="s">
        <v>137</v>
      </c>
      <c r="K74" t="s">
        <v>12</v>
      </c>
      <c r="L74">
        <v>2048</v>
      </c>
      <c r="M74">
        <f t="shared" si="4"/>
        <v>4.7214444493874899E-3</v>
      </c>
      <c r="N74" s="1">
        <f t="shared" si="5"/>
        <v>1.2676464393734913E-6</v>
      </c>
      <c r="O74">
        <v>1</v>
      </c>
    </row>
    <row r="75" spans="1:15" x14ac:dyDescent="0.35">
      <c r="A75">
        <v>8</v>
      </c>
      <c r="B75">
        <v>1</v>
      </c>
      <c r="C75">
        <v>7</v>
      </c>
      <c r="D75">
        <v>17</v>
      </c>
      <c r="E75">
        <v>5</v>
      </c>
      <c r="F75">
        <v>29</v>
      </c>
      <c r="G75">
        <v>9.5406458377838099</v>
      </c>
      <c r="H75" s="6">
        <v>2.12335586547851E-3</v>
      </c>
      <c r="I75" s="2" t="s">
        <v>138</v>
      </c>
      <c r="J75" t="s">
        <v>139</v>
      </c>
      <c r="K75" t="s">
        <v>12</v>
      </c>
      <c r="L75">
        <v>2048</v>
      </c>
      <c r="M75">
        <f t="shared" si="4"/>
        <v>4.6585184754803759E-3</v>
      </c>
      <c r="N75" s="1">
        <f t="shared" si="5"/>
        <v>1.0367948561906787E-6</v>
      </c>
      <c r="O75">
        <v>1</v>
      </c>
    </row>
    <row r="76" spans="1:15" x14ac:dyDescent="0.35">
      <c r="A76">
        <v>8</v>
      </c>
      <c r="B76">
        <v>1</v>
      </c>
      <c r="C76">
        <v>7</v>
      </c>
      <c r="D76">
        <v>17</v>
      </c>
      <c r="E76">
        <v>4</v>
      </c>
      <c r="F76">
        <v>28</v>
      </c>
      <c r="G76">
        <v>9.2962729930877597</v>
      </c>
      <c r="H76" s="6">
        <v>2.1820068359375E-3</v>
      </c>
      <c r="I76" s="2" t="s">
        <v>140</v>
      </c>
      <c r="J76" t="s">
        <v>141</v>
      </c>
      <c r="K76" t="s">
        <v>12</v>
      </c>
      <c r="L76">
        <v>2048</v>
      </c>
      <c r="M76">
        <f t="shared" si="4"/>
        <v>4.5391957974061327E-3</v>
      </c>
      <c r="N76" s="1">
        <f t="shared" si="5"/>
        <v>1.0654330253601074E-6</v>
      </c>
      <c r="O76">
        <v>2</v>
      </c>
    </row>
    <row r="77" spans="1:15" x14ac:dyDescent="0.35">
      <c r="A77">
        <v>8</v>
      </c>
      <c r="B77">
        <v>0</v>
      </c>
      <c r="C77">
        <v>1</v>
      </c>
      <c r="D77">
        <v>17</v>
      </c>
      <c r="E77">
        <v>0</v>
      </c>
      <c r="F77">
        <v>18</v>
      </c>
      <c r="G77">
        <v>9.1658055782318097</v>
      </c>
      <c r="H77" s="6">
        <v>1.79314613342285E-3</v>
      </c>
      <c r="I77" s="2" t="s">
        <v>127</v>
      </c>
      <c r="J77" t="s">
        <v>127</v>
      </c>
      <c r="K77" t="s">
        <v>12</v>
      </c>
      <c r="L77">
        <v>2048</v>
      </c>
      <c r="M77">
        <f t="shared" si="4"/>
        <v>4.4754910049960009E-3</v>
      </c>
      <c r="N77" s="1">
        <f t="shared" si="5"/>
        <v>8.75559635460376E-7</v>
      </c>
      <c r="O77">
        <v>0</v>
      </c>
    </row>
    <row r="78" spans="1:15" x14ac:dyDescent="0.35">
      <c r="A78">
        <v>8</v>
      </c>
      <c r="B78">
        <v>0</v>
      </c>
      <c r="C78">
        <v>2</v>
      </c>
      <c r="D78">
        <v>17</v>
      </c>
      <c r="E78">
        <v>0</v>
      </c>
      <c r="F78">
        <v>19</v>
      </c>
      <c r="G78">
        <v>8.99031662940979</v>
      </c>
      <c r="H78" s="6">
        <v>1.7874240875244099E-3</v>
      </c>
      <c r="I78" s="2" t="s">
        <v>127</v>
      </c>
      <c r="J78" t="s">
        <v>127</v>
      </c>
      <c r="K78" t="s">
        <v>12</v>
      </c>
      <c r="L78">
        <v>2048</v>
      </c>
      <c r="M78">
        <f t="shared" si="4"/>
        <v>4.389803041703999E-3</v>
      </c>
      <c r="N78" s="1">
        <f t="shared" si="5"/>
        <v>8.7276566773652829E-7</v>
      </c>
      <c r="O78">
        <v>0</v>
      </c>
    </row>
    <row r="79" spans="1:15" x14ac:dyDescent="0.35">
      <c r="A79">
        <v>7</v>
      </c>
      <c r="B79">
        <v>1</v>
      </c>
      <c r="C79">
        <v>9</v>
      </c>
      <c r="D79">
        <v>15</v>
      </c>
      <c r="E79">
        <v>3</v>
      </c>
      <c r="F79">
        <v>27</v>
      </c>
      <c r="G79">
        <v>6.53006744384765</v>
      </c>
      <c r="H79" s="6">
        <v>2.3846626281738199E-3</v>
      </c>
      <c r="I79" s="2" t="s">
        <v>142</v>
      </c>
      <c r="J79" t="s">
        <v>142</v>
      </c>
      <c r="K79" t="s">
        <v>12</v>
      </c>
      <c r="L79">
        <v>1024</v>
      </c>
      <c r="M79">
        <f t="shared" si="4"/>
        <v>6.3770189881324707E-3</v>
      </c>
      <c r="N79" s="1">
        <f t="shared" si="5"/>
        <v>2.328772097825996E-6</v>
      </c>
      <c r="O79">
        <v>0</v>
      </c>
    </row>
    <row r="80" spans="1:15" x14ac:dyDescent="0.35">
      <c r="A80">
        <v>7</v>
      </c>
      <c r="B80">
        <v>1</v>
      </c>
      <c r="C80">
        <v>9</v>
      </c>
      <c r="D80">
        <v>15</v>
      </c>
      <c r="E80">
        <v>6</v>
      </c>
      <c r="F80">
        <v>30</v>
      </c>
      <c r="G80">
        <v>6.8705716133117596</v>
      </c>
      <c r="H80" s="6">
        <v>2.1102428436279201E-3</v>
      </c>
      <c r="I80" s="2" t="s">
        <v>143</v>
      </c>
      <c r="J80" t="s">
        <v>144</v>
      </c>
      <c r="K80" t="s">
        <v>12</v>
      </c>
      <c r="L80">
        <v>1024</v>
      </c>
      <c r="M80">
        <f t="shared" si="4"/>
        <v>6.7095425911247652E-3</v>
      </c>
      <c r="N80" s="1">
        <f t="shared" si="5"/>
        <v>2.0607840269803908E-6</v>
      </c>
      <c r="O80">
        <v>1</v>
      </c>
    </row>
    <row r="81" spans="1:15" x14ac:dyDescent="0.35">
      <c r="A81">
        <v>7</v>
      </c>
      <c r="B81">
        <v>1</v>
      </c>
      <c r="C81">
        <v>9</v>
      </c>
      <c r="D81">
        <v>15</v>
      </c>
      <c r="E81">
        <v>2</v>
      </c>
      <c r="F81">
        <v>26</v>
      </c>
      <c r="G81">
        <v>7.0095367431640598</v>
      </c>
      <c r="H81" s="6">
        <v>1.9848346710205E-3</v>
      </c>
      <c r="I81" s="2" t="s">
        <v>145</v>
      </c>
      <c r="J81" t="s">
        <v>146</v>
      </c>
      <c r="K81" t="s">
        <v>12</v>
      </c>
      <c r="L81">
        <v>1024</v>
      </c>
      <c r="M81">
        <f t="shared" si="4"/>
        <v>6.8452507257461522E-3</v>
      </c>
      <c r="N81" s="1">
        <f t="shared" si="5"/>
        <v>1.938315108418457E-6</v>
      </c>
      <c r="O81">
        <v>1</v>
      </c>
    </row>
    <row r="82" spans="1:15" x14ac:dyDescent="0.35">
      <c r="A82">
        <v>7</v>
      </c>
      <c r="B82">
        <v>1</v>
      </c>
      <c r="C82">
        <v>11</v>
      </c>
      <c r="D82">
        <v>15</v>
      </c>
      <c r="E82">
        <v>2</v>
      </c>
      <c r="F82">
        <v>28</v>
      </c>
      <c r="G82">
        <v>6.4355151653289697</v>
      </c>
      <c r="H82" s="6">
        <v>2.0287036895751901E-3</v>
      </c>
      <c r="I82" s="2" t="s">
        <v>147</v>
      </c>
      <c r="J82" t="s">
        <v>148</v>
      </c>
      <c r="K82" t="s">
        <v>12</v>
      </c>
      <c r="L82">
        <v>1024</v>
      </c>
      <c r="M82">
        <f t="shared" si="4"/>
        <v>6.284682778641572E-3</v>
      </c>
      <c r="N82" s="1">
        <f t="shared" si="5"/>
        <v>1.9811559468507716E-6</v>
      </c>
      <c r="O82">
        <v>1</v>
      </c>
    </row>
    <row r="83" spans="1:15" x14ac:dyDescent="0.35">
      <c r="A83">
        <v>7</v>
      </c>
      <c r="B83">
        <v>1</v>
      </c>
      <c r="C83">
        <v>11</v>
      </c>
      <c r="D83">
        <v>15</v>
      </c>
      <c r="E83">
        <v>4</v>
      </c>
      <c r="F83">
        <v>30</v>
      </c>
      <c r="G83">
        <v>6.9549849033355704</v>
      </c>
      <c r="H83" s="6">
        <v>2.1395683288574201E-3</v>
      </c>
      <c r="I83" s="2" t="s">
        <v>149</v>
      </c>
      <c r="J83" t="s">
        <v>150</v>
      </c>
      <c r="K83" t="s">
        <v>12</v>
      </c>
      <c r="L83">
        <v>1024</v>
      </c>
      <c r="M83">
        <f t="shared" si="4"/>
        <v>6.791977444663643E-3</v>
      </c>
      <c r="N83" s="1">
        <f t="shared" si="5"/>
        <v>2.0894221961498244E-6</v>
      </c>
      <c r="O83">
        <v>2</v>
      </c>
    </row>
    <row r="84" spans="1:15" x14ac:dyDescent="0.35">
      <c r="A84">
        <v>7</v>
      </c>
      <c r="B84">
        <v>1</v>
      </c>
      <c r="C84">
        <v>11</v>
      </c>
      <c r="D84">
        <v>15</v>
      </c>
      <c r="E84">
        <v>7</v>
      </c>
      <c r="F84">
        <v>33</v>
      </c>
      <c r="G84">
        <v>6.7833557128906197</v>
      </c>
      <c r="H84" s="6">
        <v>2.2246837615966701E-3</v>
      </c>
      <c r="I84" s="2" t="s">
        <v>148</v>
      </c>
      <c r="J84" t="s">
        <v>151</v>
      </c>
      <c r="K84" t="s">
        <v>12</v>
      </c>
      <c r="L84">
        <v>1024</v>
      </c>
      <c r="M84">
        <f t="shared" si="4"/>
        <v>6.6243708133697458E-3</v>
      </c>
      <c r="N84" s="1">
        <f t="shared" si="5"/>
        <v>2.1725427359342482E-6</v>
      </c>
      <c r="O84">
        <v>5</v>
      </c>
    </row>
    <row r="85" spans="1:15" x14ac:dyDescent="0.35">
      <c r="A85">
        <v>7</v>
      </c>
      <c r="B85">
        <v>1</v>
      </c>
      <c r="C85">
        <v>7</v>
      </c>
      <c r="D85">
        <v>15</v>
      </c>
      <c r="E85">
        <v>3</v>
      </c>
      <c r="F85">
        <v>25</v>
      </c>
      <c r="G85">
        <v>6.3187878131866402</v>
      </c>
      <c r="H85" s="6">
        <v>2.0644664764404201E-3</v>
      </c>
      <c r="I85" s="2" t="s">
        <v>152</v>
      </c>
      <c r="J85" t="s">
        <v>152</v>
      </c>
      <c r="K85" t="s">
        <v>12</v>
      </c>
      <c r="L85">
        <v>1024</v>
      </c>
      <c r="M85">
        <f t="shared" si="4"/>
        <v>6.1706912238150783E-3</v>
      </c>
      <c r="N85" s="1">
        <f t="shared" si="5"/>
        <v>2.0160805433988478E-6</v>
      </c>
      <c r="O85">
        <v>0</v>
      </c>
    </row>
    <row r="86" spans="1:15" x14ac:dyDescent="0.35">
      <c r="A86">
        <v>7</v>
      </c>
      <c r="B86">
        <v>1</v>
      </c>
      <c r="C86">
        <v>7</v>
      </c>
      <c r="D86">
        <v>15</v>
      </c>
      <c r="E86">
        <v>5</v>
      </c>
      <c r="F86">
        <v>27</v>
      </c>
      <c r="G86">
        <v>6.6613643169402996</v>
      </c>
      <c r="H86" s="6">
        <v>2.28118896484375E-3</v>
      </c>
      <c r="I86" s="2" t="s">
        <v>153</v>
      </c>
      <c r="J86" t="s">
        <v>154</v>
      </c>
      <c r="K86" t="s">
        <v>12</v>
      </c>
      <c r="L86">
        <v>1024</v>
      </c>
      <c r="M86">
        <f t="shared" si="4"/>
        <v>6.5052385907620114E-3</v>
      </c>
      <c r="N86" s="1">
        <f t="shared" si="5"/>
        <v>2.2277235984802246E-6</v>
      </c>
      <c r="O86">
        <v>3</v>
      </c>
    </row>
    <row r="87" spans="1:15" x14ac:dyDescent="0.35">
      <c r="A87">
        <v>7</v>
      </c>
      <c r="B87">
        <v>1</v>
      </c>
      <c r="C87">
        <v>7</v>
      </c>
      <c r="D87">
        <v>15</v>
      </c>
      <c r="E87">
        <v>2</v>
      </c>
      <c r="F87">
        <v>24</v>
      </c>
      <c r="G87">
        <v>7.0236401557922301</v>
      </c>
      <c r="H87" s="6">
        <v>2.01940536499023E-3</v>
      </c>
      <c r="I87" s="2" t="s">
        <v>147</v>
      </c>
      <c r="J87" t="s">
        <v>148</v>
      </c>
      <c r="K87" t="s">
        <v>12</v>
      </c>
      <c r="L87">
        <v>1024</v>
      </c>
      <c r="M87">
        <f t="shared" si="4"/>
        <v>6.8590235896408497E-3</v>
      </c>
      <c r="N87" s="1">
        <f t="shared" si="5"/>
        <v>1.9720755517482715E-6</v>
      </c>
      <c r="O87">
        <v>1</v>
      </c>
    </row>
    <row r="88" spans="1:15" x14ac:dyDescent="0.35">
      <c r="A88">
        <v>7</v>
      </c>
      <c r="B88">
        <v>0</v>
      </c>
      <c r="C88">
        <v>1</v>
      </c>
      <c r="D88">
        <v>15</v>
      </c>
      <c r="E88">
        <v>0</v>
      </c>
      <c r="F88">
        <v>16</v>
      </c>
      <c r="G88">
        <v>6.43969678878784</v>
      </c>
      <c r="H88" s="6">
        <v>1.65152549743652E-3</v>
      </c>
      <c r="I88" s="2" t="s">
        <v>155</v>
      </c>
      <c r="J88" t="s">
        <v>155</v>
      </c>
      <c r="K88" t="s">
        <v>12</v>
      </c>
      <c r="L88">
        <v>1024</v>
      </c>
      <c r="M88">
        <f t="shared" si="4"/>
        <v>6.288766395300625E-3</v>
      </c>
      <c r="N88" s="1">
        <f t="shared" si="5"/>
        <v>1.6128178685903515E-6</v>
      </c>
      <c r="O88">
        <v>0</v>
      </c>
    </row>
    <row r="89" spans="1:15" x14ac:dyDescent="0.35">
      <c r="A89">
        <v>7</v>
      </c>
      <c r="B89">
        <v>0</v>
      </c>
      <c r="C89">
        <v>2</v>
      </c>
      <c r="D89">
        <v>15</v>
      </c>
      <c r="E89">
        <v>0</v>
      </c>
      <c r="F89">
        <v>17</v>
      </c>
      <c r="G89">
        <v>6.6331193447113002</v>
      </c>
      <c r="H89" s="6">
        <v>1.6322135925292899E-3</v>
      </c>
      <c r="I89" s="2" t="s">
        <v>155</v>
      </c>
      <c r="J89" t="s">
        <v>155</v>
      </c>
      <c r="K89" t="s">
        <v>12</v>
      </c>
      <c r="L89">
        <v>1024</v>
      </c>
      <c r="M89">
        <f t="shared" si="4"/>
        <v>6.4776556100696291E-3</v>
      </c>
      <c r="N89" s="1">
        <f t="shared" si="5"/>
        <v>1.5939585864543847E-6</v>
      </c>
      <c r="O89">
        <v>0</v>
      </c>
    </row>
    <row r="90" spans="1:15" x14ac:dyDescent="0.35">
      <c r="A90">
        <v>6</v>
      </c>
      <c r="B90">
        <v>1</v>
      </c>
      <c r="C90">
        <v>9</v>
      </c>
      <c r="D90">
        <v>13</v>
      </c>
      <c r="E90">
        <v>5</v>
      </c>
      <c r="F90">
        <v>27</v>
      </c>
      <c r="G90">
        <v>6.7287724018096897</v>
      </c>
      <c r="H90" s="6">
        <v>3.43561172485351E-3</v>
      </c>
      <c r="I90" s="2" t="s">
        <v>156</v>
      </c>
      <c r="J90" t="s">
        <v>157</v>
      </c>
      <c r="K90" t="s">
        <v>12</v>
      </c>
      <c r="L90">
        <v>1024</v>
      </c>
      <c r="M90">
        <f t="shared" si="4"/>
        <v>6.5710667986422751E-3</v>
      </c>
      <c r="N90" s="1">
        <f t="shared" si="5"/>
        <v>3.3550895750522558E-6</v>
      </c>
      <c r="O90">
        <v>5</v>
      </c>
    </row>
    <row r="91" spans="1:15" x14ac:dyDescent="0.35">
      <c r="A91">
        <v>6</v>
      </c>
      <c r="B91">
        <v>1</v>
      </c>
      <c r="C91">
        <v>9</v>
      </c>
      <c r="D91">
        <v>13</v>
      </c>
      <c r="E91">
        <v>4</v>
      </c>
      <c r="F91">
        <v>26</v>
      </c>
      <c r="G91">
        <v>6.6124103069305402</v>
      </c>
      <c r="H91" s="6">
        <v>1.9686222076415998E-3</v>
      </c>
      <c r="I91" s="2" t="s">
        <v>158</v>
      </c>
      <c r="J91" t="s">
        <v>159</v>
      </c>
      <c r="K91" t="s">
        <v>12</v>
      </c>
      <c r="L91">
        <v>1024</v>
      </c>
      <c r="M91">
        <f t="shared" si="4"/>
        <v>6.4574319403618557E-3</v>
      </c>
      <c r="N91" s="1">
        <f t="shared" si="5"/>
        <v>1.9224826246499998E-6</v>
      </c>
      <c r="O91">
        <v>2</v>
      </c>
    </row>
    <row r="92" spans="1:15" x14ac:dyDescent="0.35">
      <c r="A92">
        <v>6</v>
      </c>
      <c r="B92">
        <v>1</v>
      </c>
      <c r="C92">
        <v>9</v>
      </c>
      <c r="D92">
        <v>13</v>
      </c>
      <c r="E92">
        <v>3</v>
      </c>
      <c r="F92">
        <v>25</v>
      </c>
      <c r="G92">
        <v>6.7073287963867099</v>
      </c>
      <c r="H92" s="6">
        <v>2.2027492523193299E-3</v>
      </c>
      <c r="I92" s="2" t="s">
        <v>160</v>
      </c>
      <c r="J92" t="s">
        <v>160</v>
      </c>
      <c r="K92" t="s">
        <v>12</v>
      </c>
      <c r="L92">
        <v>1024</v>
      </c>
      <c r="M92">
        <f t="shared" si="4"/>
        <v>6.5501257777213964E-3</v>
      </c>
      <c r="N92" s="1">
        <f t="shared" si="5"/>
        <v>2.1511223167180956E-6</v>
      </c>
      <c r="O92">
        <v>0</v>
      </c>
    </row>
    <row r="93" spans="1:15" x14ac:dyDescent="0.35">
      <c r="A93">
        <v>6</v>
      </c>
      <c r="B93">
        <v>1</v>
      </c>
      <c r="C93">
        <v>7</v>
      </c>
      <c r="D93">
        <v>13</v>
      </c>
      <c r="E93">
        <v>5</v>
      </c>
      <c r="F93">
        <v>25</v>
      </c>
      <c r="G93">
        <v>6.2916960716247496</v>
      </c>
      <c r="H93" s="6">
        <v>2.1905899047851502E-3</v>
      </c>
      <c r="I93" s="2" t="s">
        <v>161</v>
      </c>
      <c r="J93" t="s">
        <v>157</v>
      </c>
      <c r="K93" t="s">
        <v>12</v>
      </c>
      <c r="L93">
        <v>1024</v>
      </c>
      <c r="M93">
        <f t="shared" si="4"/>
        <v>6.1442344449460446E-3</v>
      </c>
      <c r="N93" s="1">
        <f t="shared" si="5"/>
        <v>2.1392479538917482E-6</v>
      </c>
      <c r="O93">
        <v>3</v>
      </c>
    </row>
    <row r="94" spans="1:15" x14ac:dyDescent="0.35">
      <c r="A94">
        <v>6</v>
      </c>
      <c r="B94">
        <v>1</v>
      </c>
      <c r="C94">
        <v>7</v>
      </c>
      <c r="D94">
        <v>13</v>
      </c>
      <c r="E94">
        <v>3</v>
      </c>
      <c r="F94">
        <v>23</v>
      </c>
      <c r="G94">
        <v>6.58496069908142</v>
      </c>
      <c r="H94" s="6">
        <v>2.1038055419921801E-3</v>
      </c>
      <c r="I94" s="2" t="s">
        <v>162</v>
      </c>
      <c r="J94" t="s">
        <v>162</v>
      </c>
      <c r="K94" t="s">
        <v>12</v>
      </c>
      <c r="L94">
        <v>1024</v>
      </c>
      <c r="M94">
        <f t="shared" si="4"/>
        <v>6.4306256826966992E-3</v>
      </c>
      <c r="N94" s="1">
        <f t="shared" si="5"/>
        <v>2.0544975996017384E-6</v>
      </c>
      <c r="O94">
        <v>0</v>
      </c>
    </row>
    <row r="95" spans="1:15" x14ac:dyDescent="0.35">
      <c r="A95">
        <v>6</v>
      </c>
      <c r="B95">
        <v>1</v>
      </c>
      <c r="C95">
        <v>7</v>
      </c>
      <c r="D95">
        <v>13</v>
      </c>
      <c r="E95">
        <v>2</v>
      </c>
      <c r="F95">
        <v>22</v>
      </c>
      <c r="G95">
        <v>6.6740293502807599</v>
      </c>
      <c r="H95" s="6">
        <v>2.0453929901122999E-3</v>
      </c>
      <c r="I95" s="2" t="s">
        <v>163</v>
      </c>
      <c r="J95" t="s">
        <v>164</v>
      </c>
      <c r="K95" t="s">
        <v>12</v>
      </c>
      <c r="L95">
        <v>1024</v>
      </c>
      <c r="M95">
        <f t="shared" si="4"/>
        <v>6.5176067873835546E-3</v>
      </c>
      <c r="N95" s="1">
        <f t="shared" si="5"/>
        <v>1.9974540919065429E-6</v>
      </c>
      <c r="O95">
        <v>1</v>
      </c>
    </row>
    <row r="96" spans="1:15" x14ac:dyDescent="0.35">
      <c r="A96">
        <v>6</v>
      </c>
      <c r="B96">
        <v>1</v>
      </c>
      <c r="C96">
        <v>5</v>
      </c>
      <c r="D96">
        <v>13</v>
      </c>
      <c r="E96">
        <v>2</v>
      </c>
      <c r="F96">
        <v>20</v>
      </c>
      <c r="G96">
        <v>6.6636178493499703</v>
      </c>
      <c r="H96" s="6">
        <v>1.7261505126953099E-3</v>
      </c>
      <c r="I96" s="2" t="s">
        <v>24</v>
      </c>
      <c r="J96" t="s">
        <v>161</v>
      </c>
      <c r="K96" t="s">
        <v>12</v>
      </c>
      <c r="L96">
        <v>1024</v>
      </c>
      <c r="M96">
        <f t="shared" si="4"/>
        <v>6.5074393060058303E-3</v>
      </c>
      <c r="N96" s="1">
        <f t="shared" si="5"/>
        <v>1.6856938600540136E-6</v>
      </c>
      <c r="O96">
        <v>1</v>
      </c>
    </row>
    <row r="97" spans="1:15" x14ac:dyDescent="0.35">
      <c r="A97">
        <v>6</v>
      </c>
      <c r="B97">
        <v>1</v>
      </c>
      <c r="C97">
        <v>5</v>
      </c>
      <c r="D97">
        <v>13</v>
      </c>
      <c r="E97">
        <v>4</v>
      </c>
      <c r="F97">
        <v>22</v>
      </c>
      <c r="G97">
        <v>6.6776249408721897</v>
      </c>
      <c r="H97" s="6">
        <v>1.9536018371582001E-3</v>
      </c>
      <c r="I97" s="2" t="s">
        <v>165</v>
      </c>
      <c r="J97" t="s">
        <v>166</v>
      </c>
      <c r="K97" t="s">
        <v>12</v>
      </c>
      <c r="L97">
        <v>1024</v>
      </c>
      <c r="M97">
        <f t="shared" si="4"/>
        <v>6.5211181063204978E-3</v>
      </c>
      <c r="N97" s="1">
        <f t="shared" si="5"/>
        <v>1.9078142940998048E-6</v>
      </c>
      <c r="O97">
        <v>1</v>
      </c>
    </row>
    <row r="98" spans="1:15" x14ac:dyDescent="0.35">
      <c r="A98">
        <v>6</v>
      </c>
      <c r="B98">
        <v>1</v>
      </c>
      <c r="C98">
        <v>5</v>
      </c>
      <c r="D98">
        <v>13</v>
      </c>
      <c r="E98">
        <v>4</v>
      </c>
      <c r="F98">
        <v>22</v>
      </c>
      <c r="G98">
        <v>6.4293928146362296</v>
      </c>
      <c r="H98" s="6">
        <v>2.1059513092040998E-3</v>
      </c>
      <c r="I98" s="2" t="s">
        <v>167</v>
      </c>
      <c r="J98" t="s">
        <v>168</v>
      </c>
      <c r="K98" t="s">
        <v>12</v>
      </c>
      <c r="L98">
        <v>1024</v>
      </c>
      <c r="M98">
        <f t="shared" ref="M98:M129" si="6">G98/L98</f>
        <v>6.2787039205431929E-3</v>
      </c>
      <c r="N98" s="1">
        <f t="shared" ref="N98:N129" si="7">H98/L98</f>
        <v>2.0565930753946287E-6</v>
      </c>
      <c r="O98">
        <v>2</v>
      </c>
    </row>
    <row r="99" spans="1:15" x14ac:dyDescent="0.35">
      <c r="A99">
        <v>6</v>
      </c>
      <c r="B99">
        <v>0</v>
      </c>
      <c r="C99">
        <v>1</v>
      </c>
      <c r="D99">
        <v>13</v>
      </c>
      <c r="E99">
        <v>0</v>
      </c>
      <c r="F99">
        <v>14</v>
      </c>
      <c r="G99">
        <v>6.5624272823333696</v>
      </c>
      <c r="H99" s="6">
        <v>1.6102790832519501E-3</v>
      </c>
      <c r="I99" s="2" t="s">
        <v>156</v>
      </c>
      <c r="J99" t="s">
        <v>156</v>
      </c>
      <c r="K99" t="s">
        <v>12</v>
      </c>
      <c r="L99">
        <v>1024</v>
      </c>
      <c r="M99">
        <f t="shared" si="6"/>
        <v>6.4086203929036812E-3</v>
      </c>
      <c r="N99" s="1">
        <f t="shared" si="7"/>
        <v>1.5725381672382325E-6</v>
      </c>
      <c r="O99">
        <v>0</v>
      </c>
    </row>
    <row r="100" spans="1:15" x14ac:dyDescent="0.35">
      <c r="A100">
        <v>6</v>
      </c>
      <c r="B100">
        <v>0</v>
      </c>
      <c r="C100">
        <v>2</v>
      </c>
      <c r="D100">
        <v>13</v>
      </c>
      <c r="E100">
        <v>0</v>
      </c>
      <c r="F100">
        <v>15</v>
      </c>
      <c r="G100">
        <v>6.2888877391815097</v>
      </c>
      <c r="H100" s="6">
        <v>1.5583038330078099E-3</v>
      </c>
      <c r="I100" s="2" t="s">
        <v>156</v>
      </c>
      <c r="J100" t="s">
        <v>156</v>
      </c>
      <c r="K100" t="s">
        <v>12</v>
      </c>
      <c r="L100">
        <v>1024</v>
      </c>
      <c r="M100">
        <f t="shared" si="6"/>
        <v>6.141491932794443E-3</v>
      </c>
      <c r="N100" s="1">
        <f t="shared" si="7"/>
        <v>1.5217810869216894E-6</v>
      </c>
      <c r="O100">
        <v>0</v>
      </c>
    </row>
    <row r="101" spans="1:15" x14ac:dyDescent="0.35">
      <c r="A101">
        <v>5</v>
      </c>
      <c r="B101">
        <v>1</v>
      </c>
      <c r="C101">
        <v>9</v>
      </c>
      <c r="D101">
        <v>11</v>
      </c>
      <c r="E101">
        <v>4</v>
      </c>
      <c r="F101">
        <v>24</v>
      </c>
      <c r="G101">
        <v>6.6010961532592702</v>
      </c>
      <c r="H101" s="6">
        <v>1.8568038940429601E-3</v>
      </c>
      <c r="I101" s="2" t="s">
        <v>169</v>
      </c>
      <c r="J101" t="s">
        <v>170</v>
      </c>
      <c r="K101" t="s">
        <v>12</v>
      </c>
      <c r="L101">
        <v>1024</v>
      </c>
      <c r="M101">
        <f t="shared" si="6"/>
        <v>6.4463829621672561E-3</v>
      </c>
      <c r="N101" s="1">
        <f t="shared" si="7"/>
        <v>1.8132850527763282E-6</v>
      </c>
      <c r="O101">
        <v>2</v>
      </c>
    </row>
    <row r="102" spans="1:15" x14ac:dyDescent="0.35">
      <c r="A102">
        <v>5</v>
      </c>
      <c r="B102">
        <v>1</v>
      </c>
      <c r="C102">
        <v>9</v>
      </c>
      <c r="D102">
        <v>11</v>
      </c>
      <c r="E102">
        <v>2</v>
      </c>
      <c r="F102">
        <v>22</v>
      </c>
      <c r="G102">
        <v>6.3475315570831299</v>
      </c>
      <c r="H102" s="6">
        <v>1.9230842590332001E-3</v>
      </c>
      <c r="I102" s="2" t="s">
        <v>171</v>
      </c>
      <c r="J102" t="s">
        <v>172</v>
      </c>
      <c r="K102" t="s">
        <v>12</v>
      </c>
      <c r="L102">
        <v>1024</v>
      </c>
      <c r="M102">
        <f t="shared" si="6"/>
        <v>6.198761286213994E-3</v>
      </c>
      <c r="N102" s="1">
        <f t="shared" si="7"/>
        <v>1.8780119717121095E-6</v>
      </c>
      <c r="O102">
        <v>1</v>
      </c>
    </row>
    <row r="103" spans="1:15" x14ac:dyDescent="0.35">
      <c r="A103">
        <v>5</v>
      </c>
      <c r="B103">
        <v>1</v>
      </c>
      <c r="C103">
        <v>9</v>
      </c>
      <c r="D103">
        <v>11</v>
      </c>
      <c r="E103">
        <v>4</v>
      </c>
      <c r="F103">
        <v>24</v>
      </c>
      <c r="G103">
        <v>6.5053973197937003</v>
      </c>
      <c r="H103" s="6">
        <v>1.8932819366455E-3</v>
      </c>
      <c r="I103" s="2" t="s">
        <v>173</v>
      </c>
      <c r="J103" t="s">
        <v>174</v>
      </c>
      <c r="K103" t="s">
        <v>12</v>
      </c>
      <c r="L103">
        <v>1024</v>
      </c>
      <c r="M103">
        <f t="shared" si="6"/>
        <v>6.3529270701110354E-3</v>
      </c>
      <c r="N103" s="1">
        <f t="shared" si="7"/>
        <v>1.8489081412553711E-6</v>
      </c>
      <c r="O103">
        <v>4</v>
      </c>
    </row>
    <row r="104" spans="1:15" x14ac:dyDescent="0.35">
      <c r="A104">
        <v>5</v>
      </c>
      <c r="B104">
        <v>1</v>
      </c>
      <c r="C104">
        <v>9</v>
      </c>
      <c r="D104">
        <v>11</v>
      </c>
      <c r="E104">
        <v>1</v>
      </c>
      <c r="F104">
        <v>21</v>
      </c>
      <c r="G104">
        <v>6.3617048263549796</v>
      </c>
      <c r="H104" s="6">
        <v>1.71899795532226E-3</v>
      </c>
      <c r="I104" s="2" t="s">
        <v>175</v>
      </c>
      <c r="J104" t="s">
        <v>175</v>
      </c>
      <c r="K104" t="s">
        <v>12</v>
      </c>
      <c r="L104">
        <v>1024</v>
      </c>
      <c r="M104">
        <f t="shared" si="6"/>
        <v>6.2126023694872847E-3</v>
      </c>
      <c r="N104" s="1">
        <f t="shared" si="7"/>
        <v>1.6787089407443945E-6</v>
      </c>
      <c r="O104">
        <v>0</v>
      </c>
    </row>
    <row r="105" spans="1:15" x14ac:dyDescent="0.35">
      <c r="A105">
        <v>5</v>
      </c>
      <c r="B105">
        <v>1</v>
      </c>
      <c r="C105">
        <v>9</v>
      </c>
      <c r="D105">
        <v>11</v>
      </c>
      <c r="E105">
        <v>5</v>
      </c>
      <c r="F105">
        <v>25</v>
      </c>
      <c r="G105">
        <v>6.67228078842163</v>
      </c>
      <c r="H105" s="6">
        <v>1.94430351257324E-3</v>
      </c>
      <c r="I105" s="2" t="s">
        <v>169</v>
      </c>
      <c r="J105" t="s">
        <v>176</v>
      </c>
      <c r="K105" t="s">
        <v>12</v>
      </c>
      <c r="L105">
        <v>1024</v>
      </c>
      <c r="M105">
        <f t="shared" si="6"/>
        <v>6.515899207442998E-3</v>
      </c>
      <c r="N105" s="1">
        <f t="shared" si="7"/>
        <v>1.8987338989973047E-6</v>
      </c>
      <c r="O105">
        <v>3</v>
      </c>
    </row>
    <row r="106" spans="1:15" x14ac:dyDescent="0.35">
      <c r="A106">
        <v>5</v>
      </c>
      <c r="B106">
        <v>1</v>
      </c>
      <c r="C106">
        <v>9</v>
      </c>
      <c r="D106">
        <v>11</v>
      </c>
      <c r="E106">
        <v>2</v>
      </c>
      <c r="F106">
        <v>22</v>
      </c>
      <c r="G106">
        <v>6.6434507369995099</v>
      </c>
      <c r="H106" s="6">
        <v>1.7652511596679601E-3</v>
      </c>
      <c r="I106" s="2" t="s">
        <v>171</v>
      </c>
      <c r="J106" t="s">
        <v>172</v>
      </c>
      <c r="K106" t="s">
        <v>12</v>
      </c>
      <c r="L106">
        <v>1024</v>
      </c>
      <c r="M106">
        <f t="shared" si="6"/>
        <v>6.4877448603510839E-3</v>
      </c>
      <c r="N106" s="1">
        <f t="shared" si="7"/>
        <v>1.7238780856132423E-6</v>
      </c>
      <c r="O106">
        <v>1</v>
      </c>
    </row>
    <row r="107" spans="1:15" x14ac:dyDescent="0.35">
      <c r="A107">
        <v>5</v>
      </c>
      <c r="B107">
        <v>1</v>
      </c>
      <c r="C107">
        <v>7</v>
      </c>
      <c r="D107">
        <v>11</v>
      </c>
      <c r="E107">
        <v>4</v>
      </c>
      <c r="F107">
        <v>22</v>
      </c>
      <c r="G107">
        <v>6.7528123855590803</v>
      </c>
      <c r="H107" s="6">
        <v>1.85513496398925E-3</v>
      </c>
      <c r="I107" s="2" t="s">
        <v>177</v>
      </c>
      <c r="J107" t="s">
        <v>178</v>
      </c>
      <c r="K107" t="s">
        <v>12</v>
      </c>
      <c r="L107">
        <v>1024</v>
      </c>
      <c r="M107">
        <f t="shared" si="6"/>
        <v>6.5945433452725393E-3</v>
      </c>
      <c r="N107" s="1">
        <f t="shared" si="7"/>
        <v>1.811655238270752E-6</v>
      </c>
      <c r="O107">
        <v>1</v>
      </c>
    </row>
    <row r="108" spans="1:15" x14ac:dyDescent="0.35">
      <c r="A108">
        <v>5</v>
      </c>
      <c r="B108">
        <v>1</v>
      </c>
      <c r="C108">
        <v>7</v>
      </c>
      <c r="D108">
        <v>11</v>
      </c>
      <c r="E108">
        <v>3</v>
      </c>
      <c r="F108">
        <v>21</v>
      </c>
      <c r="G108">
        <v>6.6139435768127397</v>
      </c>
      <c r="H108" s="6">
        <v>1.86896324157714E-3</v>
      </c>
      <c r="I108" s="2" t="s">
        <v>179</v>
      </c>
      <c r="J108" t="s">
        <v>179</v>
      </c>
      <c r="K108" t="s">
        <v>12</v>
      </c>
      <c r="L108">
        <v>1024</v>
      </c>
      <c r="M108">
        <f t="shared" si="6"/>
        <v>6.4589292742311911E-3</v>
      </c>
      <c r="N108" s="1">
        <f t="shared" si="7"/>
        <v>1.8251594156026758E-6</v>
      </c>
      <c r="O108">
        <v>0</v>
      </c>
    </row>
    <row r="109" spans="1:15" x14ac:dyDescent="0.35">
      <c r="A109">
        <v>5</v>
      </c>
      <c r="B109">
        <v>1</v>
      </c>
      <c r="C109">
        <v>7</v>
      </c>
      <c r="D109">
        <v>11</v>
      </c>
      <c r="E109">
        <v>4</v>
      </c>
      <c r="F109">
        <v>22</v>
      </c>
      <c r="G109">
        <v>6.5981431007385201</v>
      </c>
      <c r="H109" s="6">
        <v>1.8851757049560499E-3</v>
      </c>
      <c r="I109" s="2" t="s">
        <v>172</v>
      </c>
      <c r="J109" t="s">
        <v>174</v>
      </c>
      <c r="K109" t="s">
        <v>12</v>
      </c>
      <c r="L109">
        <v>1024</v>
      </c>
      <c r="M109">
        <f t="shared" si="6"/>
        <v>6.443499121814961E-3</v>
      </c>
      <c r="N109" s="1">
        <f t="shared" si="7"/>
        <v>1.8409918993711425E-6</v>
      </c>
      <c r="O109">
        <v>2</v>
      </c>
    </row>
    <row r="110" spans="1:15" x14ac:dyDescent="0.35">
      <c r="A110">
        <v>5</v>
      </c>
      <c r="B110">
        <v>0</v>
      </c>
      <c r="C110">
        <v>1</v>
      </c>
      <c r="D110">
        <v>11</v>
      </c>
      <c r="E110">
        <v>0</v>
      </c>
      <c r="F110">
        <v>12</v>
      </c>
      <c r="G110">
        <v>6.4047899246215803</v>
      </c>
      <c r="H110" s="6">
        <v>1.4333724975585901E-3</v>
      </c>
      <c r="I110" s="2" t="s">
        <v>173</v>
      </c>
      <c r="J110" t="s">
        <v>173</v>
      </c>
      <c r="K110" t="s">
        <v>12</v>
      </c>
      <c r="L110">
        <v>1024</v>
      </c>
      <c r="M110">
        <f t="shared" si="6"/>
        <v>6.254677660763262E-3</v>
      </c>
      <c r="N110" s="1">
        <f t="shared" si="7"/>
        <v>1.3997778296470606E-6</v>
      </c>
      <c r="O110">
        <v>0</v>
      </c>
    </row>
    <row r="111" spans="1:15" x14ac:dyDescent="0.35">
      <c r="A111">
        <v>5</v>
      </c>
      <c r="B111">
        <v>0</v>
      </c>
      <c r="C111">
        <v>2</v>
      </c>
      <c r="D111">
        <v>11</v>
      </c>
      <c r="E111">
        <v>0</v>
      </c>
      <c r="F111">
        <v>13</v>
      </c>
      <c r="G111">
        <v>6.4820036888122496</v>
      </c>
      <c r="H111" s="6">
        <v>1.45459175109863E-3</v>
      </c>
      <c r="I111" s="2" t="s">
        <v>173</v>
      </c>
      <c r="J111" t="s">
        <v>173</v>
      </c>
      <c r="K111" t="s">
        <v>12</v>
      </c>
      <c r="L111">
        <v>1024</v>
      </c>
      <c r="M111">
        <f t="shared" si="6"/>
        <v>6.3300817273557125E-3</v>
      </c>
      <c r="N111" s="1">
        <f t="shared" si="7"/>
        <v>1.4204997569322559E-6</v>
      </c>
      <c r="O111">
        <v>0</v>
      </c>
    </row>
    <row r="112" spans="1:15" x14ac:dyDescent="0.35">
      <c r="A112">
        <v>4</v>
      </c>
      <c r="B112">
        <v>1</v>
      </c>
      <c r="C112">
        <v>3</v>
      </c>
      <c r="D112">
        <v>9</v>
      </c>
      <c r="E112">
        <v>2</v>
      </c>
      <c r="F112">
        <v>14</v>
      </c>
      <c r="G112">
        <v>7.7898476123809797</v>
      </c>
      <c r="H112" s="6">
        <v>1.6131401062011699E-3</v>
      </c>
      <c r="I112" s="2" t="s">
        <v>180</v>
      </c>
      <c r="J112" t="s">
        <v>180</v>
      </c>
      <c r="K112" t="s">
        <v>13</v>
      </c>
      <c r="L112">
        <v>1024</v>
      </c>
      <c r="M112">
        <f t="shared" si="6"/>
        <v>7.6072730589658005E-3</v>
      </c>
      <c r="N112" s="1">
        <f t="shared" si="7"/>
        <v>1.57533213496208E-6</v>
      </c>
      <c r="O112">
        <v>0</v>
      </c>
    </row>
    <row r="113" spans="1:15" x14ac:dyDescent="0.35">
      <c r="A113">
        <v>4</v>
      </c>
      <c r="B113">
        <v>1</v>
      </c>
      <c r="C113">
        <v>3</v>
      </c>
      <c r="D113">
        <v>9</v>
      </c>
      <c r="E113">
        <v>1</v>
      </c>
      <c r="F113">
        <v>13</v>
      </c>
      <c r="G113">
        <v>7.3295760154724103</v>
      </c>
      <c r="H113" s="6">
        <v>1.45459175109863E-3</v>
      </c>
      <c r="I113" s="2" t="s">
        <v>181</v>
      </c>
      <c r="J113" t="s">
        <v>181</v>
      </c>
      <c r="K113" t="s">
        <v>13</v>
      </c>
      <c r="L113">
        <v>1024</v>
      </c>
      <c r="M113">
        <f t="shared" si="6"/>
        <v>7.1577890776097757E-3</v>
      </c>
      <c r="N113" s="1">
        <f t="shared" si="7"/>
        <v>1.4204997569322559E-6</v>
      </c>
      <c r="O113">
        <v>0</v>
      </c>
    </row>
    <row r="114" spans="1:15" x14ac:dyDescent="0.35">
      <c r="A114">
        <v>4</v>
      </c>
      <c r="B114">
        <v>1</v>
      </c>
      <c r="C114">
        <v>3</v>
      </c>
      <c r="D114">
        <v>9</v>
      </c>
      <c r="E114">
        <v>1</v>
      </c>
      <c r="F114">
        <v>13</v>
      </c>
      <c r="G114">
        <v>7.5197219848632804</v>
      </c>
      <c r="H114" s="6">
        <v>1.63531303405761E-3</v>
      </c>
      <c r="I114" s="2" t="s">
        <v>182</v>
      </c>
      <c r="J114" t="s">
        <v>182</v>
      </c>
      <c r="K114" t="s">
        <v>13</v>
      </c>
      <c r="L114">
        <v>1024</v>
      </c>
      <c r="M114">
        <f t="shared" si="6"/>
        <v>7.3434785008430472E-3</v>
      </c>
      <c r="N114" s="1">
        <f t="shared" si="7"/>
        <v>1.5969853848218848E-6</v>
      </c>
      <c r="O114">
        <v>0</v>
      </c>
    </row>
    <row r="115" spans="1:15" x14ac:dyDescent="0.35">
      <c r="A115">
        <v>4</v>
      </c>
      <c r="B115">
        <v>1</v>
      </c>
      <c r="C115">
        <v>9</v>
      </c>
      <c r="D115">
        <v>9</v>
      </c>
      <c r="E115">
        <v>1</v>
      </c>
      <c r="F115">
        <v>19</v>
      </c>
      <c r="G115">
        <v>7.8995676040649396</v>
      </c>
      <c r="H115" s="6">
        <v>1.5978813171386699E-3</v>
      </c>
      <c r="I115" s="2" t="s">
        <v>182</v>
      </c>
      <c r="J115" t="s">
        <v>182</v>
      </c>
      <c r="K115" t="s">
        <v>13</v>
      </c>
      <c r="L115">
        <v>1024</v>
      </c>
      <c r="M115">
        <f t="shared" si="6"/>
        <v>7.7144214883446676E-3</v>
      </c>
      <c r="N115" s="1">
        <f t="shared" si="7"/>
        <v>1.5604309737682323E-6</v>
      </c>
      <c r="O115">
        <v>0</v>
      </c>
    </row>
    <row r="116" spans="1:15" x14ac:dyDescent="0.35">
      <c r="A116">
        <v>4</v>
      </c>
      <c r="B116">
        <v>1</v>
      </c>
      <c r="C116">
        <v>9</v>
      </c>
      <c r="D116">
        <v>9</v>
      </c>
      <c r="E116">
        <v>3</v>
      </c>
      <c r="F116">
        <v>21</v>
      </c>
      <c r="G116">
        <v>7.42913722991943</v>
      </c>
      <c r="H116" s="6">
        <v>1.72948837280273E-3</v>
      </c>
      <c r="I116" s="2" t="s">
        <v>183</v>
      </c>
      <c r="J116" t="s">
        <v>183</v>
      </c>
      <c r="K116" t="s">
        <v>13</v>
      </c>
      <c r="L116">
        <v>1024</v>
      </c>
      <c r="M116">
        <f t="shared" si="6"/>
        <v>7.2550168260931934E-3</v>
      </c>
      <c r="N116" s="1">
        <f t="shared" si="7"/>
        <v>1.6889534890651661E-6</v>
      </c>
      <c r="O116">
        <v>0</v>
      </c>
    </row>
    <row r="117" spans="1:15" x14ac:dyDescent="0.35">
      <c r="A117">
        <v>4</v>
      </c>
      <c r="B117">
        <v>1</v>
      </c>
      <c r="C117">
        <v>9</v>
      </c>
      <c r="D117">
        <v>9</v>
      </c>
      <c r="E117">
        <v>3</v>
      </c>
      <c r="F117">
        <v>21</v>
      </c>
      <c r="G117">
        <v>7.5477972030639604</v>
      </c>
      <c r="H117" s="6">
        <v>1.6653537750244099E-3</v>
      </c>
      <c r="I117" s="2" t="s">
        <v>184</v>
      </c>
      <c r="J117" t="s">
        <v>184</v>
      </c>
      <c r="K117" t="s">
        <v>13</v>
      </c>
      <c r="L117">
        <v>1024</v>
      </c>
      <c r="M117">
        <f t="shared" si="6"/>
        <v>7.3708957061171488E-3</v>
      </c>
      <c r="N117" s="1">
        <f t="shared" si="7"/>
        <v>1.6263220459222753E-6</v>
      </c>
      <c r="O117">
        <v>0</v>
      </c>
    </row>
    <row r="118" spans="1:15" x14ac:dyDescent="0.35">
      <c r="A118">
        <v>4</v>
      </c>
      <c r="B118">
        <v>1</v>
      </c>
      <c r="C118">
        <v>5</v>
      </c>
      <c r="D118">
        <v>9</v>
      </c>
      <c r="E118">
        <v>1</v>
      </c>
      <c r="F118">
        <v>15</v>
      </c>
      <c r="G118">
        <v>7.3174548149108798</v>
      </c>
      <c r="H118" s="6">
        <v>1.53875350952148E-3</v>
      </c>
      <c r="I118" s="2" t="s">
        <v>182</v>
      </c>
      <c r="J118" t="s">
        <v>182</v>
      </c>
      <c r="K118" t="s">
        <v>13</v>
      </c>
      <c r="L118">
        <v>1024</v>
      </c>
      <c r="M118">
        <f t="shared" si="6"/>
        <v>7.145951967686406E-3</v>
      </c>
      <c r="N118" s="1">
        <f t="shared" si="7"/>
        <v>1.5026889741420703E-6</v>
      </c>
      <c r="O118">
        <v>0</v>
      </c>
    </row>
    <row r="119" spans="1:15" x14ac:dyDescent="0.35">
      <c r="A119">
        <v>4</v>
      </c>
      <c r="B119">
        <v>1</v>
      </c>
      <c r="C119">
        <v>5</v>
      </c>
      <c r="D119">
        <v>9</v>
      </c>
      <c r="E119">
        <v>1</v>
      </c>
      <c r="F119">
        <v>15</v>
      </c>
      <c r="G119">
        <v>8.4214479923248202</v>
      </c>
      <c r="H119" s="6">
        <v>1.5518665313720701E-3</v>
      </c>
      <c r="I119" s="2" t="s">
        <v>185</v>
      </c>
      <c r="J119" t="s">
        <v>185</v>
      </c>
      <c r="K119" t="s">
        <v>13</v>
      </c>
      <c r="L119">
        <v>1024</v>
      </c>
      <c r="M119">
        <f t="shared" si="6"/>
        <v>8.2240703050047072E-3</v>
      </c>
      <c r="N119" s="1">
        <f t="shared" si="7"/>
        <v>1.5154946595430372E-6</v>
      </c>
      <c r="O119">
        <v>0</v>
      </c>
    </row>
    <row r="120" spans="1:15" x14ac:dyDescent="0.35">
      <c r="A120">
        <v>4</v>
      </c>
      <c r="B120">
        <v>1</v>
      </c>
      <c r="C120">
        <v>5</v>
      </c>
      <c r="D120">
        <v>9</v>
      </c>
      <c r="E120">
        <v>3</v>
      </c>
      <c r="F120">
        <v>17</v>
      </c>
      <c r="G120">
        <v>7.6180498600006104</v>
      </c>
      <c r="H120" s="6">
        <v>1.5647411346435499E-3</v>
      </c>
      <c r="I120" s="2" t="s">
        <v>183</v>
      </c>
      <c r="J120" t="s">
        <v>183</v>
      </c>
      <c r="K120" t="s">
        <v>13</v>
      </c>
      <c r="L120">
        <v>1024</v>
      </c>
      <c r="M120">
        <f t="shared" si="6"/>
        <v>7.439501816406846E-3</v>
      </c>
      <c r="N120" s="1">
        <f t="shared" si="7"/>
        <v>1.5280675143003417E-6</v>
      </c>
      <c r="O120">
        <v>0</v>
      </c>
    </row>
    <row r="121" spans="1:15" x14ac:dyDescent="0.35">
      <c r="A121">
        <v>4</v>
      </c>
      <c r="B121">
        <v>0</v>
      </c>
      <c r="C121">
        <v>1</v>
      </c>
      <c r="D121">
        <v>9</v>
      </c>
      <c r="E121">
        <v>0</v>
      </c>
      <c r="F121">
        <v>10</v>
      </c>
      <c r="G121">
        <v>7.5961799621581996</v>
      </c>
      <c r="H121" s="6">
        <v>1.4295578002929601E-3</v>
      </c>
      <c r="I121" s="2" t="s">
        <v>186</v>
      </c>
      <c r="J121" t="s">
        <v>186</v>
      </c>
      <c r="K121" t="s">
        <v>13</v>
      </c>
      <c r="L121">
        <v>1024</v>
      </c>
      <c r="M121">
        <f t="shared" si="6"/>
        <v>7.4181444942951168E-3</v>
      </c>
      <c r="N121" s="1">
        <f t="shared" si="7"/>
        <v>1.3960525393485938E-6</v>
      </c>
      <c r="O121">
        <v>0</v>
      </c>
    </row>
    <row r="122" spans="1:15" x14ac:dyDescent="0.35">
      <c r="A122">
        <v>4</v>
      </c>
      <c r="B122">
        <v>0</v>
      </c>
      <c r="C122">
        <v>2</v>
      </c>
      <c r="D122">
        <v>9</v>
      </c>
      <c r="E122">
        <v>0</v>
      </c>
      <c r="F122">
        <v>11</v>
      </c>
      <c r="G122">
        <v>7.7854716777801496</v>
      </c>
      <c r="H122" s="6">
        <v>1.4262199401855399E-3</v>
      </c>
      <c r="I122" s="2" t="s">
        <v>186</v>
      </c>
      <c r="J122" t="s">
        <v>186</v>
      </c>
      <c r="K122" t="s">
        <v>13</v>
      </c>
      <c r="L122">
        <v>1024</v>
      </c>
      <c r="M122">
        <f t="shared" si="6"/>
        <v>7.6029996853321773E-3</v>
      </c>
      <c r="N122" s="1">
        <f t="shared" si="7"/>
        <v>1.3927929103374413E-6</v>
      </c>
      <c r="O122">
        <v>0</v>
      </c>
    </row>
    <row r="123" spans="1:15" x14ac:dyDescent="0.35">
      <c r="A123">
        <v>3</v>
      </c>
      <c r="B123">
        <v>1</v>
      </c>
      <c r="C123">
        <v>5</v>
      </c>
      <c r="D123">
        <v>7</v>
      </c>
      <c r="E123">
        <v>2</v>
      </c>
      <c r="F123">
        <v>14</v>
      </c>
      <c r="G123">
        <v>8.4318475723266602</v>
      </c>
      <c r="H123" s="6">
        <v>1.7056465148925701E-3</v>
      </c>
      <c r="I123" s="2" t="s">
        <v>187</v>
      </c>
      <c r="J123" t="s">
        <v>187</v>
      </c>
      <c r="K123" t="s">
        <v>13</v>
      </c>
      <c r="L123">
        <v>1024</v>
      </c>
      <c r="M123">
        <f t="shared" si="6"/>
        <v>8.2342261448502541E-3</v>
      </c>
      <c r="N123" s="1">
        <f t="shared" si="7"/>
        <v>1.6656704246997755E-6</v>
      </c>
      <c r="O123">
        <v>0</v>
      </c>
    </row>
    <row r="124" spans="1:15" x14ac:dyDescent="0.35">
      <c r="A124">
        <v>3</v>
      </c>
      <c r="B124">
        <v>1</v>
      </c>
      <c r="C124">
        <v>5</v>
      </c>
      <c r="D124">
        <v>7</v>
      </c>
      <c r="E124">
        <v>1</v>
      </c>
      <c r="F124">
        <v>13</v>
      </c>
      <c r="G124">
        <v>7.3534386157989502</v>
      </c>
      <c r="H124" s="6">
        <v>1.4033317565917899E-3</v>
      </c>
      <c r="I124" s="2" t="s">
        <v>188</v>
      </c>
      <c r="J124" t="s">
        <v>188</v>
      </c>
      <c r="K124" t="s">
        <v>13</v>
      </c>
      <c r="L124">
        <v>1024</v>
      </c>
      <c r="M124">
        <f t="shared" si="6"/>
        <v>7.1810923982411623E-3</v>
      </c>
      <c r="N124" s="1">
        <f t="shared" si="7"/>
        <v>1.3704411685466699E-6</v>
      </c>
      <c r="O124">
        <v>0</v>
      </c>
    </row>
    <row r="125" spans="1:15" x14ac:dyDescent="0.35">
      <c r="A125">
        <v>3</v>
      </c>
      <c r="B125">
        <v>1</v>
      </c>
      <c r="C125">
        <v>5</v>
      </c>
      <c r="D125">
        <v>7</v>
      </c>
      <c r="E125">
        <v>1</v>
      </c>
      <c r="F125">
        <v>13</v>
      </c>
      <c r="G125">
        <v>7.5484645366668701</v>
      </c>
      <c r="H125" s="6">
        <v>1.4612674713134701E-3</v>
      </c>
      <c r="I125" s="2" t="s">
        <v>189</v>
      </c>
      <c r="J125" t="s">
        <v>189</v>
      </c>
      <c r="K125" t="s">
        <v>13</v>
      </c>
      <c r="L125">
        <v>1024</v>
      </c>
      <c r="M125">
        <f t="shared" si="6"/>
        <v>7.3715473990887403E-3</v>
      </c>
      <c r="N125" s="1">
        <f t="shared" si="7"/>
        <v>1.4270190149545606E-6</v>
      </c>
      <c r="O125">
        <v>0</v>
      </c>
    </row>
    <row r="126" spans="1:15" x14ac:dyDescent="0.35">
      <c r="A126">
        <v>3</v>
      </c>
      <c r="B126">
        <v>1</v>
      </c>
      <c r="C126">
        <v>3</v>
      </c>
      <c r="D126">
        <v>7</v>
      </c>
      <c r="E126">
        <v>1</v>
      </c>
      <c r="F126">
        <v>11</v>
      </c>
      <c r="G126">
        <v>7.7977306842803902</v>
      </c>
      <c r="H126" s="6">
        <v>1.3544559478759701E-3</v>
      </c>
      <c r="I126" s="2" t="s">
        <v>189</v>
      </c>
      <c r="J126" t="s">
        <v>189</v>
      </c>
      <c r="K126" t="s">
        <v>13</v>
      </c>
      <c r="L126">
        <v>1024</v>
      </c>
      <c r="M126">
        <f t="shared" si="6"/>
        <v>7.6149713713675685E-3</v>
      </c>
      <c r="N126" s="1">
        <f t="shared" si="7"/>
        <v>1.322710886597627E-6</v>
      </c>
      <c r="O126">
        <v>0</v>
      </c>
    </row>
    <row r="127" spans="1:15" x14ac:dyDescent="0.35">
      <c r="A127">
        <v>3</v>
      </c>
      <c r="B127">
        <v>1</v>
      </c>
      <c r="C127">
        <v>3</v>
      </c>
      <c r="D127">
        <v>7</v>
      </c>
      <c r="E127">
        <v>2</v>
      </c>
      <c r="F127">
        <v>12</v>
      </c>
      <c r="G127">
        <v>7.7931883335113499</v>
      </c>
      <c r="H127" s="6">
        <v>1.4007091522216699E-3</v>
      </c>
      <c r="I127" s="2" t="s">
        <v>190</v>
      </c>
      <c r="J127" t="s">
        <v>190</v>
      </c>
      <c r="K127" t="s">
        <v>13</v>
      </c>
      <c r="L127">
        <v>1024</v>
      </c>
      <c r="M127">
        <f t="shared" si="6"/>
        <v>7.6105354819446776E-3</v>
      </c>
      <c r="N127" s="1">
        <f t="shared" si="7"/>
        <v>1.3678800314664745E-6</v>
      </c>
      <c r="O127">
        <v>0</v>
      </c>
    </row>
    <row r="128" spans="1:15" x14ac:dyDescent="0.35">
      <c r="A128">
        <v>3</v>
      </c>
      <c r="B128">
        <v>1</v>
      </c>
      <c r="C128">
        <v>3</v>
      </c>
      <c r="D128">
        <v>7</v>
      </c>
      <c r="E128">
        <v>1</v>
      </c>
      <c r="F128">
        <v>11</v>
      </c>
      <c r="G128">
        <v>7.4731483459472603</v>
      </c>
      <c r="H128" s="6">
        <v>1.4231204986572201E-3</v>
      </c>
      <c r="I128" s="2" t="s">
        <v>188</v>
      </c>
      <c r="J128" t="s">
        <v>188</v>
      </c>
      <c r="K128" t="s">
        <v>13</v>
      </c>
      <c r="L128">
        <v>1024</v>
      </c>
      <c r="M128">
        <f t="shared" si="6"/>
        <v>7.2979964315891214E-3</v>
      </c>
      <c r="N128" s="1">
        <f t="shared" si="7"/>
        <v>1.3897661119699415E-6</v>
      </c>
      <c r="O128">
        <v>0</v>
      </c>
    </row>
    <row r="129" spans="1:15" x14ac:dyDescent="0.35">
      <c r="A129">
        <v>3</v>
      </c>
      <c r="B129">
        <v>1</v>
      </c>
      <c r="C129">
        <v>5</v>
      </c>
      <c r="D129">
        <v>7</v>
      </c>
      <c r="E129">
        <v>3</v>
      </c>
      <c r="F129">
        <v>15</v>
      </c>
      <c r="G129">
        <v>7.7029812335968</v>
      </c>
      <c r="H129" s="6">
        <v>1.5759468078613201E-3</v>
      </c>
      <c r="I129" s="2" t="s">
        <v>191</v>
      </c>
      <c r="J129" t="s">
        <v>191</v>
      </c>
      <c r="K129" t="s">
        <v>13</v>
      </c>
      <c r="L129">
        <v>1024</v>
      </c>
      <c r="M129">
        <f t="shared" si="6"/>
        <v>7.522442610934375E-3</v>
      </c>
      <c r="N129" s="1">
        <f t="shared" si="7"/>
        <v>1.5390105545520704E-6</v>
      </c>
      <c r="O129">
        <v>0</v>
      </c>
    </row>
    <row r="130" spans="1:15" x14ac:dyDescent="0.35">
      <c r="A130">
        <v>3</v>
      </c>
      <c r="B130">
        <v>1</v>
      </c>
      <c r="C130">
        <v>5</v>
      </c>
      <c r="D130">
        <v>7</v>
      </c>
      <c r="E130">
        <v>1</v>
      </c>
      <c r="F130">
        <v>13</v>
      </c>
      <c r="G130">
        <v>7.2797245979309002</v>
      </c>
      <c r="H130" s="6">
        <v>1.36041641235351E-3</v>
      </c>
      <c r="I130" s="2" t="s">
        <v>189</v>
      </c>
      <c r="J130" t="s">
        <v>189</v>
      </c>
      <c r="K130" t="s">
        <v>13</v>
      </c>
      <c r="L130">
        <v>1024</v>
      </c>
      <c r="M130">
        <f t="shared" ref="M130:M148" si="8">G130/L130</f>
        <v>7.1091060526668947E-3</v>
      </c>
      <c r="N130" s="1">
        <f t="shared" ref="N130:N148" si="9">H130/L130</f>
        <v>1.3285316526889746E-6</v>
      </c>
      <c r="O130">
        <v>0</v>
      </c>
    </row>
    <row r="131" spans="1:15" x14ac:dyDescent="0.35">
      <c r="A131">
        <v>3</v>
      </c>
      <c r="B131">
        <v>1</v>
      </c>
      <c r="C131">
        <v>5</v>
      </c>
      <c r="D131">
        <v>7</v>
      </c>
      <c r="E131">
        <v>1</v>
      </c>
      <c r="F131">
        <v>13</v>
      </c>
      <c r="G131">
        <v>7.2088739871978698</v>
      </c>
      <c r="H131" s="6">
        <v>1.8889904022216699E-3</v>
      </c>
      <c r="I131" s="2" t="s">
        <v>192</v>
      </c>
      <c r="J131" t="s">
        <v>192</v>
      </c>
      <c r="K131" t="s">
        <v>13</v>
      </c>
      <c r="L131">
        <v>1024</v>
      </c>
      <c r="M131">
        <f t="shared" si="8"/>
        <v>7.0399160031229197E-3</v>
      </c>
      <c r="N131" s="1">
        <f t="shared" si="9"/>
        <v>1.8447171896695995E-6</v>
      </c>
      <c r="O131">
        <v>0</v>
      </c>
    </row>
    <row r="132" spans="1:15" x14ac:dyDescent="0.35">
      <c r="A132">
        <v>3</v>
      </c>
      <c r="B132">
        <v>0</v>
      </c>
      <c r="C132">
        <v>1</v>
      </c>
      <c r="D132">
        <v>7</v>
      </c>
      <c r="E132">
        <v>0</v>
      </c>
      <c r="F132">
        <v>8</v>
      </c>
      <c r="G132">
        <v>7.4858469963073704</v>
      </c>
      <c r="H132" s="6">
        <v>1.21545791625976E-3</v>
      </c>
      <c r="I132" s="2" t="s">
        <v>193</v>
      </c>
      <c r="J132" t="s">
        <v>193</v>
      </c>
      <c r="K132" t="s">
        <v>13</v>
      </c>
      <c r="L132">
        <v>1024</v>
      </c>
      <c r="M132">
        <f t="shared" si="8"/>
        <v>7.3103974573314164E-3</v>
      </c>
      <c r="N132" s="1">
        <f t="shared" si="9"/>
        <v>1.1869706213474219E-6</v>
      </c>
      <c r="O132">
        <v>0</v>
      </c>
    </row>
    <row r="133" spans="1:15" x14ac:dyDescent="0.35">
      <c r="A133">
        <v>3</v>
      </c>
      <c r="B133">
        <v>0</v>
      </c>
      <c r="C133">
        <v>2</v>
      </c>
      <c r="D133">
        <v>7</v>
      </c>
      <c r="E133">
        <v>0</v>
      </c>
      <c r="F133">
        <v>9</v>
      </c>
      <c r="G133">
        <v>7.6574223041534397</v>
      </c>
      <c r="H133" s="6">
        <v>1.2772083282470701E-3</v>
      </c>
      <c r="I133" s="2" t="s">
        <v>193</v>
      </c>
      <c r="J133" t="s">
        <v>193</v>
      </c>
      <c r="K133" t="s">
        <v>13</v>
      </c>
      <c r="L133">
        <v>1024</v>
      </c>
      <c r="M133">
        <f t="shared" si="8"/>
        <v>7.4779514688998435E-3</v>
      </c>
      <c r="N133" s="1">
        <f t="shared" si="9"/>
        <v>1.2472737580537794E-6</v>
      </c>
      <c r="O133">
        <v>0</v>
      </c>
    </row>
    <row r="134" spans="1:15" x14ac:dyDescent="0.35">
      <c r="A134">
        <v>2</v>
      </c>
      <c r="B134">
        <v>1</v>
      </c>
      <c r="C134">
        <v>3</v>
      </c>
      <c r="D134">
        <v>5</v>
      </c>
      <c r="E134">
        <v>2</v>
      </c>
      <c r="F134">
        <v>10</v>
      </c>
      <c r="G134">
        <v>7.3764753341674796</v>
      </c>
      <c r="H134" s="6">
        <v>1.30844116210937E-3</v>
      </c>
      <c r="I134" s="2" t="s">
        <v>194</v>
      </c>
      <c r="J134" t="s">
        <v>194</v>
      </c>
      <c r="K134" t="s">
        <v>13</v>
      </c>
      <c r="L134">
        <v>1024</v>
      </c>
      <c r="M134">
        <f t="shared" si="8"/>
        <v>7.2035891935229293E-3</v>
      </c>
      <c r="N134" s="1">
        <f t="shared" si="9"/>
        <v>1.2777745723724317E-6</v>
      </c>
      <c r="O134">
        <v>0</v>
      </c>
    </row>
    <row r="135" spans="1:15" x14ac:dyDescent="0.35">
      <c r="A135">
        <v>2</v>
      </c>
      <c r="B135">
        <v>1</v>
      </c>
      <c r="C135">
        <v>3</v>
      </c>
      <c r="D135">
        <v>5</v>
      </c>
      <c r="E135">
        <v>1</v>
      </c>
      <c r="F135">
        <v>9</v>
      </c>
      <c r="G135">
        <v>7.6074280738830504</v>
      </c>
      <c r="H135" s="6">
        <v>1.2531280517578099E-3</v>
      </c>
      <c r="I135" s="2" t="s">
        <v>195</v>
      </c>
      <c r="J135" t="s">
        <v>195</v>
      </c>
      <c r="K135" t="s">
        <v>13</v>
      </c>
      <c r="L135">
        <v>1024</v>
      </c>
      <c r="M135">
        <f t="shared" si="8"/>
        <v>7.4291289784014164E-3</v>
      </c>
      <c r="N135" s="1">
        <f t="shared" si="9"/>
        <v>1.2237578630447362E-6</v>
      </c>
      <c r="O135">
        <v>0</v>
      </c>
    </row>
    <row r="136" spans="1:15" x14ac:dyDescent="0.35">
      <c r="A136">
        <v>2</v>
      </c>
      <c r="B136">
        <v>1</v>
      </c>
      <c r="C136">
        <v>3</v>
      </c>
      <c r="D136">
        <v>5</v>
      </c>
      <c r="E136">
        <v>1</v>
      </c>
      <c r="F136">
        <v>9</v>
      </c>
      <c r="G136">
        <v>7.2940089702606201</v>
      </c>
      <c r="H136" s="6">
        <v>1.28769874572753E-3</v>
      </c>
      <c r="I136" s="2" t="s">
        <v>196</v>
      </c>
      <c r="J136" t="s">
        <v>196</v>
      </c>
      <c r="K136" t="s">
        <v>13</v>
      </c>
      <c r="L136">
        <v>1024</v>
      </c>
      <c r="M136">
        <f t="shared" si="8"/>
        <v>7.1230556350201368E-3</v>
      </c>
      <c r="N136" s="1">
        <f t="shared" si="9"/>
        <v>1.257518306374541E-6</v>
      </c>
      <c r="O136">
        <v>0</v>
      </c>
    </row>
    <row r="137" spans="1:15" x14ac:dyDescent="0.35">
      <c r="A137">
        <v>2</v>
      </c>
      <c r="B137">
        <v>1</v>
      </c>
      <c r="C137">
        <v>1</v>
      </c>
      <c r="D137">
        <v>5</v>
      </c>
      <c r="E137">
        <v>1</v>
      </c>
      <c r="F137">
        <v>7</v>
      </c>
      <c r="G137">
        <v>7.5111613273620597</v>
      </c>
      <c r="H137" s="6">
        <v>1.328706741333E-3</v>
      </c>
      <c r="I137" s="2" t="s">
        <v>195</v>
      </c>
      <c r="J137" t="s">
        <v>195</v>
      </c>
      <c r="K137" t="s">
        <v>13</v>
      </c>
      <c r="L137">
        <v>1024</v>
      </c>
      <c r="M137">
        <f t="shared" si="8"/>
        <v>7.3351184837520114E-3</v>
      </c>
      <c r="N137" s="1">
        <f t="shared" si="9"/>
        <v>1.2975651770830078E-6</v>
      </c>
      <c r="O137">
        <v>0</v>
      </c>
    </row>
    <row r="138" spans="1:15" x14ac:dyDescent="0.35">
      <c r="A138">
        <v>2</v>
      </c>
      <c r="B138">
        <v>1</v>
      </c>
      <c r="C138">
        <v>1</v>
      </c>
      <c r="D138">
        <v>5</v>
      </c>
      <c r="E138">
        <v>2</v>
      </c>
      <c r="F138">
        <v>8</v>
      </c>
      <c r="G138">
        <v>7.6377146244049001</v>
      </c>
      <c r="H138" s="6">
        <v>1.4195442199707001E-3</v>
      </c>
      <c r="I138" s="2" t="s">
        <v>194</v>
      </c>
      <c r="J138" t="s">
        <v>194</v>
      </c>
      <c r="K138" t="s">
        <v>13</v>
      </c>
      <c r="L138">
        <v>1024</v>
      </c>
      <c r="M138">
        <f t="shared" si="8"/>
        <v>7.4587056878954103E-3</v>
      </c>
      <c r="N138" s="1">
        <f t="shared" si="9"/>
        <v>1.3862736523151368E-6</v>
      </c>
      <c r="O138">
        <v>0</v>
      </c>
    </row>
    <row r="139" spans="1:15" x14ac:dyDescent="0.35">
      <c r="A139">
        <v>2</v>
      </c>
      <c r="B139">
        <v>1</v>
      </c>
      <c r="C139">
        <v>1</v>
      </c>
      <c r="D139">
        <v>5</v>
      </c>
      <c r="E139">
        <v>1</v>
      </c>
      <c r="F139">
        <v>7</v>
      </c>
      <c r="G139">
        <v>7.3564500808715803</v>
      </c>
      <c r="H139" s="6">
        <v>1.2373924255371001E-3</v>
      </c>
      <c r="I139" s="2" t="s">
        <v>196</v>
      </c>
      <c r="J139" t="s">
        <v>196</v>
      </c>
      <c r="K139" t="s">
        <v>13</v>
      </c>
      <c r="L139">
        <v>1024</v>
      </c>
      <c r="M139">
        <f t="shared" si="8"/>
        <v>7.1840332821011526E-3</v>
      </c>
      <c r="N139" s="1">
        <f t="shared" si="9"/>
        <v>1.2083910405635743E-6</v>
      </c>
      <c r="O139">
        <v>0</v>
      </c>
    </row>
    <row r="140" spans="1:15" x14ac:dyDescent="0.35">
      <c r="A140">
        <v>2</v>
      </c>
      <c r="B140">
        <v>1</v>
      </c>
      <c r="C140">
        <v>5</v>
      </c>
      <c r="D140">
        <v>5</v>
      </c>
      <c r="E140">
        <v>2</v>
      </c>
      <c r="F140">
        <v>12</v>
      </c>
      <c r="G140">
        <v>6.9957461357116699</v>
      </c>
      <c r="H140" s="6">
        <v>1.37829780578613E-3</v>
      </c>
      <c r="I140" s="2" t="s">
        <v>194</v>
      </c>
      <c r="J140" t="s">
        <v>194</v>
      </c>
      <c r="K140" t="s">
        <v>13</v>
      </c>
      <c r="L140">
        <v>1024</v>
      </c>
      <c r="M140">
        <f t="shared" si="8"/>
        <v>6.8317833356559277E-3</v>
      </c>
      <c r="N140" s="1">
        <f t="shared" si="9"/>
        <v>1.3459939509630176E-6</v>
      </c>
      <c r="O140">
        <v>0</v>
      </c>
    </row>
    <row r="141" spans="1:15" x14ac:dyDescent="0.35">
      <c r="A141">
        <v>2</v>
      </c>
      <c r="B141">
        <v>1</v>
      </c>
      <c r="C141">
        <v>5</v>
      </c>
      <c r="D141">
        <v>5</v>
      </c>
      <c r="E141">
        <v>1</v>
      </c>
      <c r="F141">
        <v>11</v>
      </c>
      <c r="G141">
        <v>7.4760937690734801</v>
      </c>
      <c r="H141" s="6">
        <v>1.30987167358398E-3</v>
      </c>
      <c r="I141" s="2" t="s">
        <v>196</v>
      </c>
      <c r="J141" t="s">
        <v>196</v>
      </c>
      <c r="K141" t="s">
        <v>13</v>
      </c>
      <c r="L141">
        <v>1024</v>
      </c>
      <c r="M141">
        <f t="shared" si="8"/>
        <v>7.3008728213608204E-3</v>
      </c>
      <c r="N141" s="1">
        <f t="shared" si="9"/>
        <v>1.2791715562343555E-6</v>
      </c>
      <c r="O141">
        <v>0</v>
      </c>
    </row>
    <row r="142" spans="1:15" x14ac:dyDescent="0.35">
      <c r="A142">
        <v>2</v>
      </c>
      <c r="B142">
        <v>1</v>
      </c>
      <c r="C142">
        <v>5</v>
      </c>
      <c r="D142">
        <v>5</v>
      </c>
      <c r="E142">
        <v>1</v>
      </c>
      <c r="F142">
        <v>11</v>
      </c>
      <c r="G142">
        <v>7.2521555423736501</v>
      </c>
      <c r="H142" s="6">
        <v>1.3344287872314401E-3</v>
      </c>
      <c r="I142" s="2" t="s">
        <v>195</v>
      </c>
      <c r="J142" t="s">
        <v>195</v>
      </c>
      <c r="K142" t="s">
        <v>13</v>
      </c>
      <c r="L142">
        <v>1024</v>
      </c>
      <c r="M142">
        <f t="shared" si="8"/>
        <v>7.0821831468492677E-3</v>
      </c>
      <c r="N142" s="1">
        <f t="shared" si="9"/>
        <v>1.3031531125307032E-6</v>
      </c>
      <c r="O142">
        <v>0</v>
      </c>
    </row>
    <row r="143" spans="1:15" x14ac:dyDescent="0.35">
      <c r="A143">
        <v>2</v>
      </c>
      <c r="B143">
        <v>0</v>
      </c>
      <c r="C143">
        <v>1</v>
      </c>
      <c r="D143">
        <v>5</v>
      </c>
      <c r="E143">
        <v>0</v>
      </c>
      <c r="F143">
        <v>6</v>
      </c>
      <c r="G143">
        <v>7.2541308403015101</v>
      </c>
      <c r="H143" s="6">
        <v>1.11889839172363E-3</v>
      </c>
      <c r="I143" s="2" t="s">
        <v>197</v>
      </c>
      <c r="J143" t="s">
        <v>197</v>
      </c>
      <c r="K143" t="s">
        <v>13</v>
      </c>
      <c r="L143">
        <v>1024</v>
      </c>
      <c r="M143">
        <f t="shared" si="8"/>
        <v>7.0841121487319435E-3</v>
      </c>
      <c r="N143" s="1">
        <f t="shared" si="9"/>
        <v>1.0926742106676074E-6</v>
      </c>
      <c r="O143">
        <v>0</v>
      </c>
    </row>
    <row r="144" spans="1:15" x14ac:dyDescent="0.35">
      <c r="A144">
        <v>2</v>
      </c>
      <c r="B144">
        <v>0</v>
      </c>
      <c r="C144">
        <v>2</v>
      </c>
      <c r="D144">
        <v>5</v>
      </c>
      <c r="E144">
        <v>0</v>
      </c>
      <c r="F144">
        <v>7</v>
      </c>
      <c r="G144">
        <v>8.2833900451660103</v>
      </c>
      <c r="H144" s="6">
        <v>1.13439559936523E-3</v>
      </c>
      <c r="I144" s="2" t="s">
        <v>197</v>
      </c>
      <c r="J144" t="s">
        <v>197</v>
      </c>
      <c r="K144" t="s">
        <v>13</v>
      </c>
      <c r="L144">
        <v>1024</v>
      </c>
      <c r="M144">
        <f t="shared" si="8"/>
        <v>8.0892480909824319E-3</v>
      </c>
      <c r="N144" s="1">
        <f t="shared" si="9"/>
        <v>1.1078082025051075E-6</v>
      </c>
      <c r="O144">
        <v>0</v>
      </c>
    </row>
    <row r="145" spans="1:15" x14ac:dyDescent="0.35">
      <c r="A145">
        <v>1</v>
      </c>
      <c r="B145">
        <v>1</v>
      </c>
      <c r="C145">
        <v>3</v>
      </c>
      <c r="D145">
        <v>3</v>
      </c>
      <c r="E145">
        <v>1</v>
      </c>
      <c r="F145">
        <v>7</v>
      </c>
      <c r="G145">
        <v>6.7110924720764098</v>
      </c>
      <c r="H145" s="6">
        <v>1.4386177062988201E-3</v>
      </c>
      <c r="I145" s="2" t="s">
        <v>198</v>
      </c>
      <c r="J145" t="s">
        <v>198</v>
      </c>
      <c r="K145" t="s">
        <v>13</v>
      </c>
      <c r="L145">
        <v>1024</v>
      </c>
      <c r="M145">
        <f t="shared" si="8"/>
        <v>6.5538012422621189E-3</v>
      </c>
      <c r="N145" s="1">
        <f t="shared" si="9"/>
        <v>1.4049001038074415E-6</v>
      </c>
      <c r="O145">
        <v>0</v>
      </c>
    </row>
    <row r="146" spans="1:15" x14ac:dyDescent="0.35">
      <c r="A146">
        <v>1</v>
      </c>
      <c r="B146">
        <v>1</v>
      </c>
      <c r="C146">
        <v>1</v>
      </c>
      <c r="D146">
        <v>3</v>
      </c>
      <c r="E146">
        <v>1</v>
      </c>
      <c r="F146">
        <v>5</v>
      </c>
      <c r="G146">
        <v>6.88000035285949</v>
      </c>
      <c r="H146" s="6">
        <v>1.0776519775390599E-3</v>
      </c>
      <c r="I146" s="2" t="s">
        <v>198</v>
      </c>
      <c r="J146" t="s">
        <v>198</v>
      </c>
      <c r="K146" t="s">
        <v>13</v>
      </c>
      <c r="L146">
        <v>1024</v>
      </c>
      <c r="M146">
        <f t="shared" si="8"/>
        <v>6.7187503445893457E-3</v>
      </c>
      <c r="N146" s="1">
        <f t="shared" si="9"/>
        <v>1.0523945093154882E-6</v>
      </c>
      <c r="O146">
        <v>0</v>
      </c>
    </row>
    <row r="147" spans="1:15" x14ac:dyDescent="0.35">
      <c r="A147">
        <v>1</v>
      </c>
      <c r="B147">
        <v>0</v>
      </c>
      <c r="C147">
        <v>1</v>
      </c>
      <c r="D147">
        <v>3</v>
      </c>
      <c r="E147">
        <v>0</v>
      </c>
      <c r="F147">
        <v>4</v>
      </c>
      <c r="G147">
        <v>6.9699106216430602</v>
      </c>
      <c r="H147" s="6">
        <v>1.0483264923095701E-3</v>
      </c>
      <c r="I147" s="2" t="s">
        <v>23</v>
      </c>
      <c r="J147" t="s">
        <v>23</v>
      </c>
      <c r="K147" t="s">
        <v>13</v>
      </c>
      <c r="L147">
        <v>1024</v>
      </c>
      <c r="M147">
        <f t="shared" si="8"/>
        <v>6.806553341448301E-3</v>
      </c>
      <c r="N147" s="1">
        <f t="shared" si="9"/>
        <v>1.0237563401460645E-6</v>
      </c>
      <c r="O147">
        <v>0</v>
      </c>
    </row>
    <row r="148" spans="1:15" x14ac:dyDescent="0.35">
      <c r="A148">
        <v>1</v>
      </c>
      <c r="B148">
        <v>0</v>
      </c>
      <c r="C148">
        <v>2</v>
      </c>
      <c r="D148">
        <v>3</v>
      </c>
      <c r="E148">
        <v>0</v>
      </c>
      <c r="F148">
        <v>5</v>
      </c>
      <c r="G148">
        <v>6.8455281257629297</v>
      </c>
      <c r="H148" s="6">
        <v>1.04022026062011E-3</v>
      </c>
      <c r="I148" s="2" t="s">
        <v>23</v>
      </c>
      <c r="J148" t="s">
        <v>23</v>
      </c>
      <c r="K148" t="s">
        <v>13</v>
      </c>
      <c r="L148">
        <v>1024</v>
      </c>
      <c r="M148">
        <f t="shared" si="8"/>
        <v>6.685086060315361E-3</v>
      </c>
      <c r="N148" s="1">
        <f t="shared" si="9"/>
        <v>1.0158400982618262E-6</v>
      </c>
      <c r="O14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opLeftCell="Q1" zoomScale="176" zoomScaleNormal="176" workbookViewId="0">
      <selection activeCell="AM28" sqref="AM28"/>
    </sheetView>
  </sheetViews>
  <sheetFormatPr defaultRowHeight="14.5" x14ac:dyDescent="0.35"/>
  <cols>
    <col min="15" max="15" width="11.81640625" style="1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15</v>
      </c>
      <c r="E1" t="s">
        <v>4</v>
      </c>
      <c r="F1" t="s">
        <v>5</v>
      </c>
      <c r="G1" t="s">
        <v>364</v>
      </c>
      <c r="H1" t="s">
        <v>365</v>
      </c>
      <c r="I1" t="s">
        <v>14</v>
      </c>
      <c r="J1" t="s">
        <v>8</v>
      </c>
      <c r="K1" t="s">
        <v>9</v>
      </c>
      <c r="L1" t="s">
        <v>10</v>
      </c>
      <c r="M1" t="s">
        <v>11</v>
      </c>
      <c r="N1" t="s">
        <v>16</v>
      </c>
      <c r="O1" s="1" t="s">
        <v>17</v>
      </c>
      <c r="P1" t="s">
        <v>356</v>
      </c>
    </row>
    <row r="2" spans="1:16" x14ac:dyDescent="0.35">
      <c r="A2">
        <v>14</v>
      </c>
      <c r="B2">
        <v>1</v>
      </c>
      <c r="C2">
        <v>29</v>
      </c>
      <c r="D2">
        <v>6</v>
      </c>
      <c r="E2">
        <v>8</v>
      </c>
      <c r="F2">
        <f>B2+C2+D2+E2</f>
        <v>44</v>
      </c>
      <c r="G2">
        <v>30.14717078</v>
      </c>
      <c r="H2">
        <v>3.8750170000000001E-3</v>
      </c>
      <c r="I2" s="1" t="s">
        <v>199</v>
      </c>
      <c r="J2" t="s">
        <v>200</v>
      </c>
      <c r="K2" s="1" t="s">
        <v>199</v>
      </c>
      <c r="L2" t="s">
        <v>12</v>
      </c>
      <c r="M2">
        <v>8192</v>
      </c>
      <c r="N2">
        <f>G2/M2</f>
        <v>3.6800745581054687E-3</v>
      </c>
      <c r="O2" s="1">
        <f>H2/M2</f>
        <v>4.7302453613281252E-7</v>
      </c>
      <c r="P2">
        <v>5</v>
      </c>
    </row>
    <row r="3" spans="1:16" x14ac:dyDescent="0.35">
      <c r="A3">
        <v>14</v>
      </c>
      <c r="B3">
        <v>1</v>
      </c>
      <c r="C3">
        <v>29</v>
      </c>
      <c r="D3">
        <v>7</v>
      </c>
      <c r="E3">
        <v>7</v>
      </c>
      <c r="F3">
        <f t="shared" ref="F3:F6" si="0">B3+C3+D3+E3</f>
        <v>44</v>
      </c>
      <c r="G3">
        <v>28.47961879</v>
      </c>
      <c r="H3">
        <v>2.727747E-3</v>
      </c>
      <c r="I3" s="1" t="s">
        <v>201</v>
      </c>
      <c r="J3" s="1" t="s">
        <v>202</v>
      </c>
      <c r="K3" s="1" t="s">
        <v>201</v>
      </c>
      <c r="L3" t="s">
        <v>12</v>
      </c>
      <c r="M3">
        <v>8192</v>
      </c>
      <c r="N3">
        <f t="shared" ref="N3:N66" si="1">G3/M3</f>
        <v>3.4765159655761719E-3</v>
      </c>
      <c r="O3" s="1">
        <f t="shared" ref="O3:O66" si="2">H3/M3</f>
        <v>3.329769287109375E-7</v>
      </c>
      <c r="P3">
        <v>6</v>
      </c>
    </row>
    <row r="4" spans="1:16" x14ac:dyDescent="0.35">
      <c r="A4">
        <v>14</v>
      </c>
      <c r="B4">
        <v>1</v>
      </c>
      <c r="C4">
        <v>29</v>
      </c>
      <c r="D4">
        <v>6</v>
      </c>
      <c r="E4">
        <v>8</v>
      </c>
      <c r="F4">
        <f t="shared" si="0"/>
        <v>44</v>
      </c>
      <c r="G4">
        <v>29.175038099999998</v>
      </c>
      <c r="H4">
        <v>2.9675959999999999E-3</v>
      </c>
      <c r="I4" s="1" t="s">
        <v>203</v>
      </c>
      <c r="J4" t="s">
        <v>204</v>
      </c>
      <c r="K4" s="1" t="s">
        <v>203</v>
      </c>
      <c r="L4" t="s">
        <v>12</v>
      </c>
      <c r="M4">
        <v>8192</v>
      </c>
      <c r="N4">
        <f t="shared" si="1"/>
        <v>3.561406018066406E-3</v>
      </c>
      <c r="O4" s="1">
        <f t="shared" si="2"/>
        <v>3.6225537109374998E-7</v>
      </c>
      <c r="P4">
        <v>3</v>
      </c>
    </row>
    <row r="5" spans="1:16" x14ac:dyDescent="0.35">
      <c r="A5">
        <v>14</v>
      </c>
      <c r="B5">
        <v>1</v>
      </c>
      <c r="C5">
        <v>29</v>
      </c>
      <c r="D5">
        <v>4</v>
      </c>
      <c r="E5">
        <v>10</v>
      </c>
      <c r="F5">
        <f t="shared" si="0"/>
        <v>44</v>
      </c>
      <c r="G5">
        <v>30.255591150000001</v>
      </c>
      <c r="H5">
        <v>2.8932089999999999E-3</v>
      </c>
      <c r="I5" s="1" t="s">
        <v>205</v>
      </c>
      <c r="J5" t="s">
        <v>206</v>
      </c>
      <c r="K5" s="1" t="s">
        <v>205</v>
      </c>
      <c r="L5" t="s">
        <v>12</v>
      </c>
      <c r="M5">
        <v>8192</v>
      </c>
      <c r="N5">
        <f t="shared" si="1"/>
        <v>3.6933094665527345E-3</v>
      </c>
      <c r="O5" s="1">
        <f t="shared" si="2"/>
        <v>3.5317492675781249E-7</v>
      </c>
      <c r="P5">
        <v>4</v>
      </c>
    </row>
    <row r="6" spans="1:16" x14ac:dyDescent="0.35">
      <c r="A6">
        <v>14</v>
      </c>
      <c r="B6">
        <v>1</v>
      </c>
      <c r="C6">
        <v>29</v>
      </c>
      <c r="D6">
        <v>6</v>
      </c>
      <c r="E6">
        <v>8</v>
      </c>
      <c r="F6">
        <f t="shared" si="0"/>
        <v>44</v>
      </c>
      <c r="G6">
        <v>30.11348271</v>
      </c>
      <c r="H6">
        <v>4.0729049999999999E-3</v>
      </c>
      <c r="I6" s="1" t="s">
        <v>207</v>
      </c>
      <c r="J6" s="1" t="s">
        <v>208</v>
      </c>
      <c r="K6" s="1" t="s">
        <v>207</v>
      </c>
      <c r="L6" t="s">
        <v>12</v>
      </c>
      <c r="M6">
        <v>8192</v>
      </c>
      <c r="N6">
        <f t="shared" si="1"/>
        <v>3.6759622448730468E-3</v>
      </c>
      <c r="O6" s="1">
        <f t="shared" si="2"/>
        <v>4.9718078613281249E-7</v>
      </c>
      <c r="P6">
        <v>1</v>
      </c>
    </row>
    <row r="7" spans="1:16" x14ac:dyDescent="0.35">
      <c r="A7">
        <v>14</v>
      </c>
      <c r="B7">
        <v>1</v>
      </c>
      <c r="C7">
        <v>29</v>
      </c>
      <c r="D7">
        <v>9</v>
      </c>
      <c r="E7">
        <v>5</v>
      </c>
      <c r="F7">
        <v>44</v>
      </c>
      <c r="G7">
        <v>30.692770960000001</v>
      </c>
      <c r="H7">
        <v>3.9420130000000003E-3</v>
      </c>
      <c r="I7" s="1" t="s">
        <v>209</v>
      </c>
      <c r="J7" t="s">
        <v>210</v>
      </c>
      <c r="K7" s="1" t="s">
        <v>209</v>
      </c>
      <c r="L7" t="s">
        <v>12</v>
      </c>
      <c r="M7">
        <v>8192</v>
      </c>
      <c r="N7">
        <f t="shared" si="1"/>
        <v>3.7466761425781251E-3</v>
      </c>
      <c r="O7" s="1">
        <f t="shared" si="2"/>
        <v>4.8120275878906254E-7</v>
      </c>
      <c r="P7">
        <v>6</v>
      </c>
    </row>
    <row r="8" spans="1:16" x14ac:dyDescent="0.35">
      <c r="A8">
        <v>14</v>
      </c>
      <c r="B8">
        <v>1</v>
      </c>
      <c r="C8">
        <v>29</v>
      </c>
      <c r="D8">
        <v>5</v>
      </c>
      <c r="E8">
        <v>9</v>
      </c>
      <c r="F8">
        <v>44</v>
      </c>
      <c r="G8">
        <v>29.121488329999998</v>
      </c>
      <c r="H8">
        <v>2.9430390000000002E-3</v>
      </c>
      <c r="I8" s="1" t="s">
        <v>211</v>
      </c>
      <c r="J8" t="s">
        <v>212</v>
      </c>
      <c r="K8" s="1" t="s">
        <v>211</v>
      </c>
      <c r="L8" t="s">
        <v>12</v>
      </c>
      <c r="M8">
        <v>8192</v>
      </c>
      <c r="N8">
        <f t="shared" si="1"/>
        <v>3.5548691809082029E-3</v>
      </c>
      <c r="O8" s="1">
        <f t="shared" si="2"/>
        <v>3.5925769042968752E-7</v>
      </c>
      <c r="P8">
        <v>7</v>
      </c>
    </row>
    <row r="9" spans="1:16" x14ac:dyDescent="0.35">
      <c r="A9">
        <v>14</v>
      </c>
      <c r="B9">
        <v>1</v>
      </c>
      <c r="C9">
        <v>29</v>
      </c>
      <c r="D9">
        <v>4</v>
      </c>
      <c r="E9">
        <v>10</v>
      </c>
      <c r="F9">
        <v>44</v>
      </c>
      <c r="G9">
        <v>28.54795623</v>
      </c>
      <c r="H9">
        <v>2.779007E-3</v>
      </c>
      <c r="I9" s="1" t="s">
        <v>213</v>
      </c>
      <c r="J9" s="1" t="s">
        <v>214</v>
      </c>
      <c r="K9" s="1" t="s">
        <v>213</v>
      </c>
      <c r="L9" t="s">
        <v>12</v>
      </c>
      <c r="M9">
        <v>8192</v>
      </c>
      <c r="N9">
        <f t="shared" si="1"/>
        <v>3.4848579382324219E-3</v>
      </c>
      <c r="O9" s="1">
        <f t="shared" si="2"/>
        <v>3.392342529296875E-7</v>
      </c>
      <c r="P9">
        <v>2</v>
      </c>
    </row>
    <row r="10" spans="1:16" x14ac:dyDescent="0.35">
      <c r="A10">
        <v>14</v>
      </c>
      <c r="B10">
        <v>1</v>
      </c>
      <c r="C10">
        <v>29</v>
      </c>
      <c r="D10">
        <v>9</v>
      </c>
      <c r="E10">
        <v>5</v>
      </c>
      <c r="F10">
        <v>44</v>
      </c>
      <c r="G10">
        <v>26.65574694</v>
      </c>
      <c r="H10">
        <v>3.4730429999999999E-3</v>
      </c>
      <c r="I10" t="s">
        <v>215</v>
      </c>
      <c r="J10" t="s">
        <v>216</v>
      </c>
      <c r="K10" t="s">
        <v>215</v>
      </c>
      <c r="L10" t="s">
        <v>12</v>
      </c>
      <c r="M10">
        <v>8192</v>
      </c>
      <c r="N10">
        <f t="shared" si="1"/>
        <v>3.2538753588867188E-3</v>
      </c>
      <c r="O10" s="1">
        <f t="shared" si="2"/>
        <v>4.2395544433593748E-7</v>
      </c>
      <c r="P10">
        <v>3</v>
      </c>
    </row>
    <row r="11" spans="1:16" x14ac:dyDescent="0.35">
      <c r="A11">
        <v>14</v>
      </c>
      <c r="B11">
        <v>1</v>
      </c>
      <c r="C11">
        <v>29</v>
      </c>
      <c r="D11">
        <v>8</v>
      </c>
      <c r="E11">
        <v>6</v>
      </c>
      <c r="F11">
        <v>44</v>
      </c>
      <c r="G11">
        <v>29.031023980000001</v>
      </c>
      <c r="H11">
        <v>3.4079549999999998E-3</v>
      </c>
      <c r="I11" s="1" t="s">
        <v>217</v>
      </c>
      <c r="J11" t="s">
        <v>41</v>
      </c>
      <c r="K11" s="1" t="s">
        <v>217</v>
      </c>
      <c r="L11" t="s">
        <v>12</v>
      </c>
      <c r="M11">
        <v>8192</v>
      </c>
      <c r="N11">
        <f t="shared" si="1"/>
        <v>3.5438261694335938E-3</v>
      </c>
      <c r="O11" s="1">
        <f t="shared" si="2"/>
        <v>4.1601013183593748E-7</v>
      </c>
      <c r="P11">
        <v>3</v>
      </c>
    </row>
    <row r="12" spans="1:16" x14ac:dyDescent="0.35">
      <c r="A12">
        <v>13</v>
      </c>
      <c r="B12">
        <v>1</v>
      </c>
      <c r="C12">
        <v>27</v>
      </c>
      <c r="D12">
        <v>3</v>
      </c>
      <c r="E12">
        <v>10</v>
      </c>
      <c r="F12">
        <v>41</v>
      </c>
      <c r="G12">
        <v>26.565763239999999</v>
      </c>
      <c r="H12">
        <v>2.704859E-3</v>
      </c>
      <c r="I12" s="1" t="s">
        <v>218</v>
      </c>
      <c r="J12" s="1" t="s">
        <v>219</v>
      </c>
      <c r="K12" s="1" t="s">
        <v>218</v>
      </c>
      <c r="L12" t="s">
        <v>12</v>
      </c>
      <c r="M12">
        <v>8192</v>
      </c>
      <c r="N12">
        <f t="shared" si="1"/>
        <v>3.2428910205078124E-3</v>
      </c>
      <c r="O12" s="1">
        <f t="shared" si="2"/>
        <v>3.301829833984375E-7</v>
      </c>
      <c r="P12">
        <v>3</v>
      </c>
    </row>
    <row r="13" spans="1:16" x14ac:dyDescent="0.35">
      <c r="A13">
        <v>13</v>
      </c>
      <c r="B13">
        <v>1</v>
      </c>
      <c r="C13">
        <v>27</v>
      </c>
      <c r="D13">
        <v>5</v>
      </c>
      <c r="E13">
        <v>8</v>
      </c>
      <c r="F13">
        <v>41</v>
      </c>
      <c r="G13">
        <v>26.472142699999999</v>
      </c>
      <c r="H13">
        <v>2.6686190000000001E-3</v>
      </c>
      <c r="I13" s="1" t="s">
        <v>220</v>
      </c>
      <c r="J13" t="s">
        <v>221</v>
      </c>
      <c r="K13" s="1" t="s">
        <v>220</v>
      </c>
      <c r="L13" t="s">
        <v>12</v>
      </c>
      <c r="M13">
        <v>8192</v>
      </c>
      <c r="N13">
        <f t="shared" si="1"/>
        <v>3.2314627319335936E-3</v>
      </c>
      <c r="O13" s="1">
        <f t="shared" si="2"/>
        <v>3.2575915527343751E-7</v>
      </c>
      <c r="P13">
        <v>4</v>
      </c>
    </row>
    <row r="14" spans="1:16" x14ac:dyDescent="0.35">
      <c r="A14">
        <v>13</v>
      </c>
      <c r="B14">
        <v>1</v>
      </c>
      <c r="C14">
        <v>27</v>
      </c>
      <c r="D14">
        <v>6</v>
      </c>
      <c r="E14">
        <v>7</v>
      </c>
      <c r="F14">
        <v>41</v>
      </c>
      <c r="G14">
        <v>27.19186354</v>
      </c>
      <c r="H14">
        <v>3.50666E-3</v>
      </c>
      <c r="I14" t="s">
        <v>222</v>
      </c>
      <c r="J14" t="s">
        <v>223</v>
      </c>
      <c r="K14" t="s">
        <v>222</v>
      </c>
      <c r="L14" t="s">
        <v>12</v>
      </c>
      <c r="M14">
        <v>8192</v>
      </c>
      <c r="N14">
        <f t="shared" si="1"/>
        <v>3.3193192797851562E-3</v>
      </c>
      <c r="O14" s="1">
        <f t="shared" si="2"/>
        <v>4.2805908203125E-7</v>
      </c>
      <c r="P14">
        <v>6</v>
      </c>
    </row>
    <row r="15" spans="1:16" x14ac:dyDescent="0.35">
      <c r="A15">
        <v>13</v>
      </c>
      <c r="B15">
        <v>1</v>
      </c>
      <c r="C15">
        <v>27</v>
      </c>
      <c r="D15">
        <v>5</v>
      </c>
      <c r="E15">
        <v>8</v>
      </c>
      <c r="F15">
        <v>41</v>
      </c>
      <c r="G15">
        <v>26.56590486</v>
      </c>
      <c r="H15">
        <v>3.3743380000000002E-3</v>
      </c>
      <c r="I15" s="1" t="s">
        <v>224</v>
      </c>
      <c r="J15" s="1" t="s">
        <v>225</v>
      </c>
      <c r="K15" s="1" t="s">
        <v>224</v>
      </c>
      <c r="L15" t="s">
        <v>12</v>
      </c>
      <c r="M15">
        <v>8192</v>
      </c>
      <c r="N15">
        <f t="shared" si="1"/>
        <v>3.2429083081054687E-3</v>
      </c>
      <c r="O15" s="1">
        <f t="shared" si="2"/>
        <v>4.1190649414062502E-7</v>
      </c>
      <c r="P15">
        <v>1</v>
      </c>
    </row>
    <row r="16" spans="1:16" x14ac:dyDescent="0.35">
      <c r="A16">
        <v>13</v>
      </c>
      <c r="B16">
        <v>1</v>
      </c>
      <c r="C16">
        <v>27</v>
      </c>
      <c r="D16">
        <v>4</v>
      </c>
      <c r="E16">
        <v>9</v>
      </c>
      <c r="F16">
        <v>41</v>
      </c>
      <c r="G16">
        <v>26.904042480000001</v>
      </c>
      <c r="H16">
        <v>2.6285649999999998E-3</v>
      </c>
      <c r="I16" s="1" t="s">
        <v>226</v>
      </c>
      <c r="J16" s="1" t="s">
        <v>25</v>
      </c>
      <c r="K16" s="1" t="s">
        <v>226</v>
      </c>
      <c r="L16" t="s">
        <v>12</v>
      </c>
      <c r="M16">
        <v>8192</v>
      </c>
      <c r="N16">
        <f t="shared" si="1"/>
        <v>3.2841848730468751E-3</v>
      </c>
      <c r="O16" s="1">
        <f t="shared" si="2"/>
        <v>3.2086975097656248E-7</v>
      </c>
      <c r="P16">
        <v>3</v>
      </c>
    </row>
    <row r="17" spans="1:16" x14ac:dyDescent="0.35">
      <c r="A17">
        <v>13</v>
      </c>
      <c r="B17">
        <v>1</v>
      </c>
      <c r="C17">
        <v>27</v>
      </c>
      <c r="D17">
        <v>8</v>
      </c>
      <c r="E17">
        <v>5</v>
      </c>
      <c r="F17">
        <v>41</v>
      </c>
      <c r="G17">
        <v>29.15143037</v>
      </c>
      <c r="H17">
        <v>3.5362240000000001E-3</v>
      </c>
      <c r="I17" s="1" t="s">
        <v>227</v>
      </c>
      <c r="J17" s="1" t="s">
        <v>228</v>
      </c>
      <c r="K17" s="1" t="s">
        <v>227</v>
      </c>
      <c r="L17" t="s">
        <v>12</v>
      </c>
      <c r="M17">
        <v>8192</v>
      </c>
      <c r="N17">
        <f t="shared" si="1"/>
        <v>3.5585242150878906E-3</v>
      </c>
      <c r="O17" s="1">
        <f t="shared" si="2"/>
        <v>4.3166796875000002E-7</v>
      </c>
      <c r="P17">
        <v>1</v>
      </c>
    </row>
    <row r="18" spans="1:16" x14ac:dyDescent="0.35">
      <c r="A18">
        <v>13</v>
      </c>
      <c r="B18">
        <v>1</v>
      </c>
      <c r="C18">
        <v>27</v>
      </c>
      <c r="D18">
        <v>7</v>
      </c>
      <c r="E18">
        <v>6</v>
      </c>
      <c r="F18">
        <v>41</v>
      </c>
      <c r="G18">
        <v>28.788931130000002</v>
      </c>
      <c r="H18">
        <v>3.391504E-3</v>
      </c>
      <c r="I18" t="s">
        <v>229</v>
      </c>
      <c r="J18" t="s">
        <v>230</v>
      </c>
      <c r="K18" t="s">
        <v>229</v>
      </c>
      <c r="L18" t="s">
        <v>12</v>
      </c>
      <c r="M18">
        <v>8192</v>
      </c>
      <c r="N18">
        <f t="shared" si="1"/>
        <v>3.5142738195800783E-3</v>
      </c>
      <c r="O18" s="1">
        <f t="shared" si="2"/>
        <v>4.1400195312500001E-7</v>
      </c>
      <c r="P18">
        <v>5</v>
      </c>
    </row>
    <row r="19" spans="1:16" x14ac:dyDescent="0.35">
      <c r="A19">
        <v>13</v>
      </c>
      <c r="B19">
        <v>1</v>
      </c>
      <c r="C19">
        <v>27</v>
      </c>
      <c r="D19">
        <v>6</v>
      </c>
      <c r="E19">
        <v>7</v>
      </c>
      <c r="F19">
        <v>41</v>
      </c>
      <c r="G19">
        <v>28.248757600000001</v>
      </c>
      <c r="H19">
        <v>2.7918819999999999E-3</v>
      </c>
      <c r="I19" s="1" t="s">
        <v>231</v>
      </c>
      <c r="J19" s="1" t="s">
        <v>232</v>
      </c>
      <c r="K19" s="1" t="s">
        <v>231</v>
      </c>
      <c r="L19" t="s">
        <v>12</v>
      </c>
      <c r="M19">
        <v>8192</v>
      </c>
      <c r="N19">
        <f t="shared" si="1"/>
        <v>3.4483346679687501E-3</v>
      </c>
      <c r="O19" s="1">
        <f t="shared" si="2"/>
        <v>3.4080590820312498E-7</v>
      </c>
      <c r="P19">
        <v>2</v>
      </c>
    </row>
    <row r="20" spans="1:16" x14ac:dyDescent="0.35">
      <c r="A20">
        <v>13</v>
      </c>
      <c r="B20">
        <v>1</v>
      </c>
      <c r="C20">
        <v>27</v>
      </c>
      <c r="D20">
        <v>3</v>
      </c>
      <c r="E20">
        <v>10</v>
      </c>
      <c r="F20">
        <v>41</v>
      </c>
      <c r="G20">
        <v>29.2057085</v>
      </c>
      <c r="H20">
        <v>2.9077529999999999E-3</v>
      </c>
      <c r="I20" s="1" t="s">
        <v>233</v>
      </c>
      <c r="J20" t="s">
        <v>234</v>
      </c>
      <c r="K20" s="1" t="s">
        <v>233</v>
      </c>
      <c r="L20" t="s">
        <v>12</v>
      </c>
      <c r="M20">
        <v>8192</v>
      </c>
      <c r="N20">
        <f t="shared" si="1"/>
        <v>3.5651499633789063E-3</v>
      </c>
      <c r="O20" s="1">
        <f t="shared" si="2"/>
        <v>3.5495031738281249E-7</v>
      </c>
      <c r="P20">
        <v>7</v>
      </c>
    </row>
    <row r="21" spans="1:16" x14ac:dyDescent="0.35">
      <c r="A21">
        <v>13</v>
      </c>
      <c r="B21">
        <v>1</v>
      </c>
      <c r="C21">
        <v>27</v>
      </c>
      <c r="D21">
        <v>5</v>
      </c>
      <c r="E21">
        <v>8</v>
      </c>
      <c r="F21">
        <v>41</v>
      </c>
      <c r="G21">
        <v>27.946083779999999</v>
      </c>
      <c r="H21">
        <v>2.7847290000000001E-3</v>
      </c>
      <c r="I21" s="1" t="s">
        <v>235</v>
      </c>
      <c r="J21" s="1" t="s">
        <v>228</v>
      </c>
      <c r="K21" s="1" t="s">
        <v>235</v>
      </c>
      <c r="L21" t="s">
        <v>12</v>
      </c>
      <c r="M21">
        <v>8192</v>
      </c>
      <c r="N21">
        <f t="shared" si="1"/>
        <v>3.4113871801757811E-3</v>
      </c>
      <c r="O21" s="1">
        <f t="shared" si="2"/>
        <v>3.3993273925781251E-7</v>
      </c>
      <c r="P21">
        <v>2</v>
      </c>
    </row>
    <row r="22" spans="1:16" x14ac:dyDescent="0.35">
      <c r="A22">
        <v>12</v>
      </c>
      <c r="B22">
        <v>1</v>
      </c>
      <c r="C22">
        <v>25</v>
      </c>
      <c r="D22">
        <v>3</v>
      </c>
      <c r="E22">
        <v>9</v>
      </c>
      <c r="F22">
        <v>38</v>
      </c>
      <c r="G22">
        <v>26.951537850000001</v>
      </c>
      <c r="H22">
        <v>3.428698E-3</v>
      </c>
      <c r="I22" s="1" t="s">
        <v>236</v>
      </c>
      <c r="J22" s="1" t="s">
        <v>237</v>
      </c>
      <c r="K22" s="1" t="s">
        <v>236</v>
      </c>
      <c r="L22" t="s">
        <v>12</v>
      </c>
      <c r="M22">
        <v>8192</v>
      </c>
      <c r="N22">
        <f t="shared" si="1"/>
        <v>3.2899826477050783E-3</v>
      </c>
      <c r="O22" s="1">
        <f t="shared" si="2"/>
        <v>4.18542236328125E-7</v>
      </c>
      <c r="P22">
        <v>3</v>
      </c>
    </row>
    <row r="23" spans="1:16" x14ac:dyDescent="0.35">
      <c r="A23">
        <v>12</v>
      </c>
      <c r="B23">
        <v>1</v>
      </c>
      <c r="C23">
        <v>25</v>
      </c>
      <c r="D23">
        <v>7</v>
      </c>
      <c r="E23">
        <v>5</v>
      </c>
      <c r="F23">
        <v>38</v>
      </c>
      <c r="G23">
        <v>27.55714321</v>
      </c>
      <c r="H23">
        <v>3.3857819999999999E-3</v>
      </c>
      <c r="I23" s="1" t="s">
        <v>28</v>
      </c>
      <c r="J23" t="s">
        <v>238</v>
      </c>
      <c r="K23" s="1" t="s">
        <v>28</v>
      </c>
      <c r="L23" t="s">
        <v>12</v>
      </c>
      <c r="M23">
        <v>8192</v>
      </c>
      <c r="N23">
        <f t="shared" si="1"/>
        <v>3.3639090832519531E-3</v>
      </c>
      <c r="O23" s="1">
        <f t="shared" si="2"/>
        <v>4.1330346679687499E-7</v>
      </c>
      <c r="P23">
        <v>3</v>
      </c>
    </row>
    <row r="24" spans="1:16" x14ac:dyDescent="0.35">
      <c r="A24">
        <v>12</v>
      </c>
      <c r="B24">
        <v>1</v>
      </c>
      <c r="C24">
        <v>25</v>
      </c>
      <c r="D24">
        <v>5</v>
      </c>
      <c r="E24">
        <v>7</v>
      </c>
      <c r="F24">
        <v>38</v>
      </c>
      <c r="G24">
        <v>26.003549580000001</v>
      </c>
      <c r="H24">
        <v>3.3664699999999999E-3</v>
      </c>
      <c r="I24" s="1" t="s">
        <v>239</v>
      </c>
      <c r="J24" t="s">
        <v>240</v>
      </c>
      <c r="K24" s="1" t="s">
        <v>239</v>
      </c>
      <c r="L24" t="s">
        <v>12</v>
      </c>
      <c r="M24">
        <v>8192</v>
      </c>
      <c r="N24">
        <f t="shared" si="1"/>
        <v>3.1742614233398439E-3</v>
      </c>
      <c r="O24" s="1">
        <f t="shared" si="2"/>
        <v>4.1094604492187499E-7</v>
      </c>
      <c r="P24">
        <v>5</v>
      </c>
    </row>
    <row r="25" spans="1:16" x14ac:dyDescent="0.35">
      <c r="A25">
        <v>12</v>
      </c>
      <c r="B25">
        <v>1</v>
      </c>
      <c r="C25">
        <v>25</v>
      </c>
      <c r="D25">
        <v>7</v>
      </c>
      <c r="E25">
        <v>5</v>
      </c>
      <c r="F25">
        <v>38</v>
      </c>
      <c r="G25">
        <v>26.864634280000001</v>
      </c>
      <c r="H25">
        <v>3.433466E-3</v>
      </c>
      <c r="I25" t="s">
        <v>241</v>
      </c>
      <c r="J25" t="s">
        <v>242</v>
      </c>
      <c r="K25" t="s">
        <v>241</v>
      </c>
      <c r="L25" t="s">
        <v>12</v>
      </c>
      <c r="M25">
        <v>8192</v>
      </c>
      <c r="N25">
        <f t="shared" si="1"/>
        <v>3.2793743017578126E-3</v>
      </c>
      <c r="O25" s="1">
        <f t="shared" si="2"/>
        <v>4.19124267578125E-7</v>
      </c>
      <c r="P25">
        <v>2</v>
      </c>
    </row>
    <row r="26" spans="1:16" x14ac:dyDescent="0.35">
      <c r="A26">
        <v>12</v>
      </c>
      <c r="B26">
        <v>1</v>
      </c>
      <c r="C26">
        <v>25</v>
      </c>
      <c r="D26">
        <v>6</v>
      </c>
      <c r="E26">
        <v>6</v>
      </c>
      <c r="F26">
        <v>38</v>
      </c>
      <c r="G26">
        <v>26.715162280000001</v>
      </c>
      <c r="H26">
        <v>3.237247E-3</v>
      </c>
      <c r="I26" t="s">
        <v>243</v>
      </c>
      <c r="J26" t="s">
        <v>244</v>
      </c>
      <c r="K26" t="s">
        <v>243</v>
      </c>
      <c r="L26" t="s">
        <v>12</v>
      </c>
      <c r="M26">
        <v>8192</v>
      </c>
      <c r="N26">
        <f t="shared" si="1"/>
        <v>3.2611282080078127E-3</v>
      </c>
      <c r="O26" s="1">
        <f t="shared" si="2"/>
        <v>3.9517175292968749E-7</v>
      </c>
      <c r="P26">
        <v>5</v>
      </c>
    </row>
    <row r="27" spans="1:16" x14ac:dyDescent="0.35">
      <c r="A27">
        <v>12</v>
      </c>
      <c r="B27">
        <v>1</v>
      </c>
      <c r="C27">
        <v>25</v>
      </c>
      <c r="D27">
        <v>6</v>
      </c>
      <c r="E27">
        <v>6</v>
      </c>
      <c r="F27">
        <v>38</v>
      </c>
      <c r="G27">
        <v>26.56327319</v>
      </c>
      <c r="H27">
        <v>3.2341480000000001E-3</v>
      </c>
      <c r="I27" t="s">
        <v>245</v>
      </c>
      <c r="J27" t="s">
        <v>244</v>
      </c>
      <c r="K27" t="s">
        <v>245</v>
      </c>
      <c r="L27" t="s">
        <v>12</v>
      </c>
      <c r="M27">
        <v>8192</v>
      </c>
      <c r="N27">
        <f t="shared" si="1"/>
        <v>3.2425870593261719E-3</v>
      </c>
      <c r="O27" s="1">
        <f t="shared" si="2"/>
        <v>3.9479345703125001E-7</v>
      </c>
      <c r="P27">
        <v>5</v>
      </c>
    </row>
    <row r="28" spans="1:16" x14ac:dyDescent="0.35">
      <c r="A28">
        <v>12</v>
      </c>
      <c r="B28">
        <v>1</v>
      </c>
      <c r="C28">
        <v>25</v>
      </c>
      <c r="D28">
        <v>6</v>
      </c>
      <c r="E28">
        <v>6</v>
      </c>
      <c r="F28">
        <v>38</v>
      </c>
      <c r="G28">
        <v>26.630359649999999</v>
      </c>
      <c r="H28">
        <v>2.4690630000000001E-3</v>
      </c>
      <c r="I28" s="1" t="s">
        <v>246</v>
      </c>
      <c r="J28" t="s">
        <v>247</v>
      </c>
      <c r="K28" s="1" t="s">
        <v>246</v>
      </c>
      <c r="L28" t="s">
        <v>12</v>
      </c>
      <c r="M28">
        <v>8192</v>
      </c>
      <c r="N28">
        <f t="shared" si="1"/>
        <v>3.2507763244628905E-3</v>
      </c>
      <c r="O28" s="1">
        <f t="shared" si="2"/>
        <v>3.0139929199218751E-7</v>
      </c>
      <c r="P28">
        <v>5</v>
      </c>
    </row>
    <row r="29" spans="1:16" x14ac:dyDescent="0.35">
      <c r="A29">
        <v>12</v>
      </c>
      <c r="B29">
        <v>1</v>
      </c>
      <c r="C29">
        <v>25</v>
      </c>
      <c r="D29">
        <v>5</v>
      </c>
      <c r="E29">
        <v>7</v>
      </c>
      <c r="F29">
        <v>38</v>
      </c>
      <c r="G29">
        <v>26.846008059999999</v>
      </c>
      <c r="H29">
        <v>3.1392569999999999E-3</v>
      </c>
      <c r="I29" s="1" t="s">
        <v>248</v>
      </c>
      <c r="J29" s="1" t="s">
        <v>249</v>
      </c>
      <c r="K29" s="1" t="s">
        <v>248</v>
      </c>
      <c r="L29" t="s">
        <v>12</v>
      </c>
      <c r="M29">
        <v>8192</v>
      </c>
      <c r="N29">
        <f t="shared" si="1"/>
        <v>3.2771005932617186E-3</v>
      </c>
      <c r="O29" s="1">
        <f t="shared" si="2"/>
        <v>3.8321008300781249E-7</v>
      </c>
      <c r="P29">
        <v>1</v>
      </c>
    </row>
    <row r="30" spans="1:16" x14ac:dyDescent="0.35">
      <c r="A30">
        <v>12</v>
      </c>
      <c r="B30">
        <v>1</v>
      </c>
      <c r="C30">
        <v>25</v>
      </c>
      <c r="D30">
        <v>7</v>
      </c>
      <c r="E30">
        <v>5</v>
      </c>
      <c r="F30">
        <v>38</v>
      </c>
      <c r="G30">
        <v>25.878809449999999</v>
      </c>
      <c r="H30">
        <v>3.2508369999999999E-3</v>
      </c>
      <c r="I30" s="1" t="s">
        <v>250</v>
      </c>
      <c r="J30" t="s">
        <v>68</v>
      </c>
      <c r="K30" s="1" t="s">
        <v>250</v>
      </c>
      <c r="L30" t="s">
        <v>12</v>
      </c>
      <c r="M30">
        <v>8192</v>
      </c>
      <c r="N30">
        <f t="shared" si="1"/>
        <v>3.1590343566894529E-3</v>
      </c>
      <c r="O30" s="1">
        <f t="shared" si="2"/>
        <v>3.9683068847656249E-7</v>
      </c>
      <c r="P30">
        <v>2</v>
      </c>
    </row>
    <row r="31" spans="1:16" x14ac:dyDescent="0.35">
      <c r="A31">
        <v>12</v>
      </c>
      <c r="B31">
        <v>1</v>
      </c>
      <c r="C31">
        <v>25</v>
      </c>
      <c r="D31">
        <v>4</v>
      </c>
      <c r="E31">
        <v>8</v>
      </c>
      <c r="F31">
        <v>38</v>
      </c>
      <c r="G31">
        <v>26.115904329999999</v>
      </c>
      <c r="H31">
        <v>3.1280520000000001E-3</v>
      </c>
      <c r="I31" s="1" t="s">
        <v>251</v>
      </c>
      <c r="J31" t="s">
        <v>76</v>
      </c>
      <c r="K31" s="1" t="s">
        <v>251</v>
      </c>
      <c r="L31" t="s">
        <v>12</v>
      </c>
      <c r="M31">
        <v>8192</v>
      </c>
      <c r="N31">
        <f t="shared" si="1"/>
        <v>3.187976602783203E-3</v>
      </c>
      <c r="O31" s="1">
        <f t="shared" si="2"/>
        <v>3.8184228515625001E-7</v>
      </c>
      <c r="P31">
        <v>4</v>
      </c>
    </row>
    <row r="32" spans="1:16" x14ac:dyDescent="0.35">
      <c r="A32">
        <v>11</v>
      </c>
      <c r="B32">
        <v>1</v>
      </c>
      <c r="C32">
        <v>23</v>
      </c>
      <c r="D32">
        <v>9</v>
      </c>
      <c r="E32">
        <v>2</v>
      </c>
      <c r="F32">
        <v>35</v>
      </c>
      <c r="G32">
        <v>25.946331260000001</v>
      </c>
      <c r="H32">
        <v>2.3114680000000001E-3</v>
      </c>
      <c r="I32" t="s">
        <v>252</v>
      </c>
      <c r="J32" t="s">
        <v>253</v>
      </c>
      <c r="K32" t="s">
        <v>252</v>
      </c>
      <c r="L32" t="s">
        <v>12</v>
      </c>
      <c r="M32">
        <v>8192</v>
      </c>
      <c r="N32">
        <f t="shared" si="1"/>
        <v>3.1672767651367189E-3</v>
      </c>
      <c r="O32" s="1">
        <f t="shared" si="2"/>
        <v>2.8216162109375001E-7</v>
      </c>
      <c r="P32">
        <v>1</v>
      </c>
    </row>
    <row r="33" spans="1:16" x14ac:dyDescent="0.35">
      <c r="A33">
        <v>11</v>
      </c>
      <c r="B33">
        <v>1</v>
      </c>
      <c r="C33">
        <v>23</v>
      </c>
      <c r="D33">
        <v>7</v>
      </c>
      <c r="E33">
        <v>4</v>
      </c>
      <c r="F33">
        <v>35</v>
      </c>
      <c r="G33">
        <v>25.37124562</v>
      </c>
      <c r="H33">
        <v>3.4782889999999999E-3</v>
      </c>
      <c r="I33" t="s">
        <v>254</v>
      </c>
      <c r="J33" t="s">
        <v>255</v>
      </c>
      <c r="K33" t="s">
        <v>254</v>
      </c>
      <c r="L33" t="s">
        <v>12</v>
      </c>
      <c r="M33">
        <v>8192</v>
      </c>
      <c r="N33">
        <f t="shared" si="1"/>
        <v>3.0970758813476562E-3</v>
      </c>
      <c r="O33" s="1">
        <f t="shared" si="2"/>
        <v>4.2459582519531248E-7</v>
      </c>
      <c r="P33">
        <v>5</v>
      </c>
    </row>
    <row r="34" spans="1:16" x14ac:dyDescent="0.35">
      <c r="A34">
        <v>11</v>
      </c>
      <c r="B34">
        <v>1</v>
      </c>
      <c r="C34">
        <v>23</v>
      </c>
      <c r="D34">
        <v>6</v>
      </c>
      <c r="E34">
        <v>5</v>
      </c>
      <c r="F34">
        <v>35</v>
      </c>
      <c r="G34">
        <v>25.9564147</v>
      </c>
      <c r="H34">
        <v>2.6140209999999998E-3</v>
      </c>
      <c r="I34" t="s">
        <v>256</v>
      </c>
      <c r="J34" t="s">
        <v>257</v>
      </c>
      <c r="K34" t="s">
        <v>256</v>
      </c>
      <c r="L34" t="s">
        <v>12</v>
      </c>
      <c r="M34">
        <v>8192</v>
      </c>
      <c r="N34">
        <f t="shared" si="1"/>
        <v>3.1685076538085937E-3</v>
      </c>
      <c r="O34" s="1">
        <f t="shared" si="2"/>
        <v>3.1909436035156247E-7</v>
      </c>
      <c r="P34">
        <v>4</v>
      </c>
    </row>
    <row r="35" spans="1:16" x14ac:dyDescent="0.35">
      <c r="A35">
        <v>11</v>
      </c>
      <c r="B35">
        <v>1</v>
      </c>
      <c r="C35">
        <v>23</v>
      </c>
      <c r="D35">
        <v>4</v>
      </c>
      <c r="E35">
        <v>7</v>
      </c>
      <c r="F35">
        <v>35</v>
      </c>
      <c r="G35">
        <v>25.793041939999998</v>
      </c>
      <c r="H35">
        <v>2.7422900000000001E-3</v>
      </c>
      <c r="I35" t="s">
        <v>258</v>
      </c>
      <c r="J35" t="s">
        <v>259</v>
      </c>
      <c r="K35" t="s">
        <v>258</v>
      </c>
      <c r="L35" t="s">
        <v>12</v>
      </c>
      <c r="M35">
        <v>8192</v>
      </c>
      <c r="N35">
        <f t="shared" si="1"/>
        <v>3.1485646899414061E-3</v>
      </c>
      <c r="O35" s="1">
        <f t="shared" si="2"/>
        <v>3.3475219726562501E-7</v>
      </c>
      <c r="P35">
        <v>5</v>
      </c>
    </row>
    <row r="36" spans="1:16" x14ac:dyDescent="0.35">
      <c r="A36">
        <v>11</v>
      </c>
      <c r="B36">
        <v>1</v>
      </c>
      <c r="C36">
        <v>23</v>
      </c>
      <c r="D36">
        <v>4</v>
      </c>
      <c r="E36">
        <v>7</v>
      </c>
      <c r="F36">
        <v>35</v>
      </c>
      <c r="G36">
        <v>25.846060749999999</v>
      </c>
      <c r="H36">
        <v>2.533436E-3</v>
      </c>
      <c r="I36" t="s">
        <v>260</v>
      </c>
      <c r="J36" t="s">
        <v>261</v>
      </c>
      <c r="K36" t="s">
        <v>260</v>
      </c>
      <c r="L36" t="s">
        <v>12</v>
      </c>
      <c r="M36">
        <v>8192</v>
      </c>
      <c r="N36">
        <f t="shared" si="1"/>
        <v>3.1550367126464843E-3</v>
      </c>
      <c r="O36" s="1">
        <f t="shared" si="2"/>
        <v>3.0925732421875E-7</v>
      </c>
      <c r="P36">
        <v>4</v>
      </c>
    </row>
    <row r="37" spans="1:16" x14ac:dyDescent="0.35">
      <c r="A37">
        <v>11</v>
      </c>
      <c r="B37">
        <v>1</v>
      </c>
      <c r="C37">
        <v>23</v>
      </c>
      <c r="D37">
        <v>6</v>
      </c>
      <c r="E37">
        <v>5</v>
      </c>
      <c r="F37">
        <v>35</v>
      </c>
      <c r="G37">
        <v>25.561094050000001</v>
      </c>
      <c r="H37">
        <v>2.635002E-3</v>
      </c>
      <c r="I37" t="s">
        <v>262</v>
      </c>
      <c r="J37" t="s">
        <v>263</v>
      </c>
      <c r="K37" t="s">
        <v>262</v>
      </c>
      <c r="L37" t="s">
        <v>12</v>
      </c>
      <c r="M37">
        <v>8192</v>
      </c>
      <c r="N37">
        <f t="shared" si="1"/>
        <v>3.1202507385253908E-3</v>
      </c>
      <c r="O37" s="1">
        <f t="shared" si="2"/>
        <v>3.21655517578125E-7</v>
      </c>
      <c r="P37">
        <v>6</v>
      </c>
    </row>
    <row r="38" spans="1:16" x14ac:dyDescent="0.35">
      <c r="A38">
        <v>11</v>
      </c>
      <c r="B38">
        <v>1</v>
      </c>
      <c r="C38">
        <v>23</v>
      </c>
      <c r="D38">
        <v>3</v>
      </c>
      <c r="E38">
        <v>8</v>
      </c>
      <c r="F38">
        <v>35</v>
      </c>
      <c r="G38">
        <v>25.664440160000002</v>
      </c>
      <c r="H38">
        <v>2.519369E-3</v>
      </c>
      <c r="I38" t="s">
        <v>264</v>
      </c>
      <c r="J38" t="s">
        <v>252</v>
      </c>
      <c r="K38" t="s">
        <v>264</v>
      </c>
      <c r="L38" t="s">
        <v>12</v>
      </c>
      <c r="M38">
        <v>8192</v>
      </c>
      <c r="N38">
        <f t="shared" si="1"/>
        <v>3.1328662304687502E-3</v>
      </c>
      <c r="O38" s="1">
        <f t="shared" si="2"/>
        <v>3.075401611328125E-7</v>
      </c>
      <c r="P38">
        <v>8</v>
      </c>
    </row>
    <row r="39" spans="1:16" x14ac:dyDescent="0.35">
      <c r="A39">
        <v>11</v>
      </c>
      <c r="B39">
        <v>1</v>
      </c>
      <c r="C39">
        <v>23</v>
      </c>
      <c r="D39">
        <v>6</v>
      </c>
      <c r="E39">
        <v>5</v>
      </c>
      <c r="F39">
        <v>35</v>
      </c>
      <c r="G39">
        <v>25.37683535</v>
      </c>
      <c r="H39">
        <v>2.3775100000000002E-3</v>
      </c>
      <c r="I39" t="s">
        <v>265</v>
      </c>
      <c r="J39" t="s">
        <v>266</v>
      </c>
      <c r="K39" t="s">
        <v>265</v>
      </c>
      <c r="L39" t="s">
        <v>12</v>
      </c>
      <c r="M39">
        <v>8192</v>
      </c>
      <c r="N39">
        <f t="shared" si="1"/>
        <v>3.0977582214355469E-3</v>
      </c>
      <c r="O39" s="1">
        <f t="shared" si="2"/>
        <v>2.9022338867187503E-7</v>
      </c>
      <c r="P39">
        <v>5</v>
      </c>
    </row>
    <row r="40" spans="1:16" x14ac:dyDescent="0.35">
      <c r="A40">
        <v>11</v>
      </c>
      <c r="B40">
        <v>1</v>
      </c>
      <c r="C40">
        <v>23</v>
      </c>
      <c r="D40">
        <v>9</v>
      </c>
      <c r="E40">
        <v>2</v>
      </c>
      <c r="F40">
        <v>35</v>
      </c>
      <c r="G40">
        <v>25.45975971</v>
      </c>
      <c r="H40">
        <v>2.7422900000000001E-3</v>
      </c>
      <c r="I40" t="s">
        <v>267</v>
      </c>
      <c r="J40" t="s">
        <v>268</v>
      </c>
      <c r="K40" t="s">
        <v>267</v>
      </c>
      <c r="L40" t="s">
        <v>12</v>
      </c>
      <c r="M40">
        <v>8192</v>
      </c>
      <c r="N40">
        <f t="shared" si="1"/>
        <v>3.1078808239746094E-3</v>
      </c>
      <c r="O40" s="1">
        <f t="shared" si="2"/>
        <v>3.3475219726562501E-7</v>
      </c>
      <c r="P40">
        <v>1</v>
      </c>
    </row>
    <row r="41" spans="1:16" x14ac:dyDescent="0.35">
      <c r="A41">
        <v>11</v>
      </c>
      <c r="B41">
        <v>1</v>
      </c>
      <c r="C41">
        <v>23</v>
      </c>
      <c r="D41">
        <v>7</v>
      </c>
      <c r="E41">
        <v>4</v>
      </c>
      <c r="F41">
        <v>35</v>
      </c>
      <c r="G41">
        <v>25.445563790000001</v>
      </c>
      <c r="H41">
        <v>2.5353429999999998E-3</v>
      </c>
      <c r="I41" t="s">
        <v>269</v>
      </c>
      <c r="J41" t="s">
        <v>270</v>
      </c>
      <c r="K41" t="s">
        <v>269</v>
      </c>
      <c r="L41" t="s">
        <v>12</v>
      </c>
      <c r="M41">
        <v>8192</v>
      </c>
      <c r="N41">
        <f t="shared" si="1"/>
        <v>3.1061479235839845E-3</v>
      </c>
      <c r="O41" s="1">
        <f t="shared" si="2"/>
        <v>3.0949011230468748E-7</v>
      </c>
      <c r="P41">
        <v>3</v>
      </c>
    </row>
    <row r="42" spans="1:16" x14ac:dyDescent="0.35">
      <c r="A42">
        <v>10</v>
      </c>
      <c r="B42">
        <v>1</v>
      </c>
      <c r="C42">
        <v>21</v>
      </c>
      <c r="D42">
        <v>6</v>
      </c>
      <c r="E42">
        <v>4</v>
      </c>
      <c r="F42">
        <v>32</v>
      </c>
      <c r="G42">
        <v>25.620198729999998</v>
      </c>
      <c r="H42">
        <v>2.2988319999999998E-3</v>
      </c>
      <c r="I42" t="s">
        <v>271</v>
      </c>
      <c r="J42" t="s">
        <v>272</v>
      </c>
      <c r="K42" t="s">
        <v>271</v>
      </c>
      <c r="L42" t="s">
        <v>12</v>
      </c>
      <c r="M42">
        <v>8192</v>
      </c>
      <c r="N42">
        <f t="shared" si="1"/>
        <v>3.1274656652832029E-3</v>
      </c>
      <c r="O42" s="1">
        <f t="shared" si="2"/>
        <v>2.8061914062499997E-7</v>
      </c>
      <c r="P42">
        <v>4</v>
      </c>
    </row>
    <row r="43" spans="1:16" x14ac:dyDescent="0.35">
      <c r="A43">
        <v>10</v>
      </c>
      <c r="B43">
        <v>1</v>
      </c>
      <c r="C43">
        <v>21</v>
      </c>
      <c r="D43">
        <v>6</v>
      </c>
      <c r="E43">
        <v>4</v>
      </c>
      <c r="F43">
        <v>32</v>
      </c>
      <c r="G43">
        <v>25.32660246</v>
      </c>
      <c r="H43">
        <v>2.1405220000000002E-3</v>
      </c>
      <c r="I43" t="s">
        <v>273</v>
      </c>
      <c r="J43" t="s">
        <v>273</v>
      </c>
      <c r="K43" t="s">
        <v>273</v>
      </c>
      <c r="L43" t="s">
        <v>12</v>
      </c>
      <c r="M43">
        <v>8192</v>
      </c>
      <c r="N43">
        <f t="shared" si="1"/>
        <v>3.0916262768554688E-3</v>
      </c>
      <c r="O43" s="1">
        <f t="shared" si="2"/>
        <v>2.6129418945312502E-7</v>
      </c>
      <c r="P43">
        <v>0</v>
      </c>
    </row>
    <row r="44" spans="1:16" x14ac:dyDescent="0.35">
      <c r="A44">
        <v>10</v>
      </c>
      <c r="B44">
        <v>1</v>
      </c>
      <c r="C44">
        <v>21</v>
      </c>
      <c r="D44">
        <v>8</v>
      </c>
      <c r="E44">
        <v>2</v>
      </c>
      <c r="F44">
        <v>32</v>
      </c>
      <c r="G44">
        <v>24.841200350000001</v>
      </c>
      <c r="H44">
        <v>2.1748539999999999E-3</v>
      </c>
      <c r="I44" t="s">
        <v>274</v>
      </c>
      <c r="J44" t="s">
        <v>275</v>
      </c>
      <c r="K44" t="s">
        <v>274</v>
      </c>
      <c r="L44" t="s">
        <v>12</v>
      </c>
      <c r="M44">
        <v>8192</v>
      </c>
      <c r="N44">
        <f t="shared" si="1"/>
        <v>3.0323730895996095E-3</v>
      </c>
      <c r="O44" s="1">
        <f t="shared" si="2"/>
        <v>2.6548510742187499E-7</v>
      </c>
      <c r="P44">
        <v>1</v>
      </c>
    </row>
    <row r="45" spans="1:16" x14ac:dyDescent="0.35">
      <c r="A45">
        <v>10</v>
      </c>
      <c r="B45">
        <v>1</v>
      </c>
      <c r="C45">
        <v>21</v>
      </c>
      <c r="D45">
        <v>3</v>
      </c>
      <c r="E45">
        <v>7</v>
      </c>
      <c r="F45">
        <v>32</v>
      </c>
      <c r="G45">
        <v>25.688285109999999</v>
      </c>
      <c r="H45">
        <v>2.1693709999999998E-3</v>
      </c>
      <c r="I45" t="s">
        <v>276</v>
      </c>
      <c r="J45" t="s">
        <v>277</v>
      </c>
      <c r="K45" t="s">
        <v>276</v>
      </c>
      <c r="L45" t="s">
        <v>12</v>
      </c>
      <c r="M45">
        <v>8192</v>
      </c>
      <c r="N45">
        <f t="shared" si="1"/>
        <v>3.1357769909667967E-3</v>
      </c>
      <c r="O45" s="1">
        <f t="shared" si="2"/>
        <v>2.6481579589843748E-7</v>
      </c>
      <c r="P45">
        <v>6</v>
      </c>
    </row>
    <row r="46" spans="1:16" x14ac:dyDescent="0.35">
      <c r="A46">
        <v>10</v>
      </c>
      <c r="B46">
        <v>1</v>
      </c>
      <c r="C46">
        <v>21</v>
      </c>
      <c r="D46">
        <v>3</v>
      </c>
      <c r="E46">
        <v>7</v>
      </c>
      <c r="F46">
        <v>32</v>
      </c>
      <c r="G46">
        <v>25.039800169999999</v>
      </c>
      <c r="H46">
        <v>2.87199E-3</v>
      </c>
      <c r="I46" t="s">
        <v>278</v>
      </c>
      <c r="J46" t="s">
        <v>279</v>
      </c>
      <c r="K46" t="s">
        <v>278</v>
      </c>
      <c r="L46" t="s">
        <v>12</v>
      </c>
      <c r="M46">
        <v>8192</v>
      </c>
      <c r="N46">
        <f t="shared" si="1"/>
        <v>3.0566162316894531E-3</v>
      </c>
      <c r="O46" s="1">
        <f t="shared" si="2"/>
        <v>3.5058471679687501E-7</v>
      </c>
      <c r="P46">
        <v>5</v>
      </c>
    </row>
    <row r="47" spans="1:16" x14ac:dyDescent="0.35">
      <c r="A47">
        <v>10</v>
      </c>
      <c r="B47">
        <v>1</v>
      </c>
      <c r="C47">
        <v>21</v>
      </c>
      <c r="D47">
        <v>4</v>
      </c>
      <c r="E47">
        <v>6</v>
      </c>
      <c r="F47">
        <v>32</v>
      </c>
      <c r="G47">
        <v>25.795416360000001</v>
      </c>
      <c r="H47">
        <v>2.1457669999999998E-3</v>
      </c>
      <c r="I47" t="s">
        <v>280</v>
      </c>
      <c r="J47" t="s">
        <v>281</v>
      </c>
      <c r="K47" t="s">
        <v>280</v>
      </c>
      <c r="L47" t="s">
        <v>12</v>
      </c>
      <c r="M47">
        <v>8192</v>
      </c>
      <c r="N47">
        <f t="shared" si="1"/>
        <v>3.1488545361328126E-3</v>
      </c>
      <c r="O47" s="1">
        <f t="shared" si="2"/>
        <v>2.6193444824218748E-7</v>
      </c>
      <c r="P47">
        <v>2</v>
      </c>
    </row>
    <row r="48" spans="1:16" x14ac:dyDescent="0.35">
      <c r="A48">
        <v>10</v>
      </c>
      <c r="B48">
        <v>1</v>
      </c>
      <c r="C48">
        <v>21</v>
      </c>
      <c r="D48">
        <v>3</v>
      </c>
      <c r="E48">
        <v>7</v>
      </c>
      <c r="F48">
        <v>32</v>
      </c>
      <c r="G48">
        <v>25.294555899999999</v>
      </c>
      <c r="H48">
        <v>2.1691319999999998E-3</v>
      </c>
      <c r="I48" t="s">
        <v>282</v>
      </c>
      <c r="J48" t="s">
        <v>283</v>
      </c>
      <c r="K48" t="s">
        <v>282</v>
      </c>
      <c r="L48" t="s">
        <v>12</v>
      </c>
      <c r="M48">
        <v>8192</v>
      </c>
      <c r="N48">
        <f t="shared" si="1"/>
        <v>3.0877143432617186E-3</v>
      </c>
      <c r="O48" s="1">
        <f t="shared" si="2"/>
        <v>2.6478662109374998E-7</v>
      </c>
      <c r="P48">
        <v>3</v>
      </c>
    </row>
    <row r="49" spans="1:16" x14ac:dyDescent="0.35">
      <c r="A49">
        <v>10</v>
      </c>
      <c r="B49">
        <v>1</v>
      </c>
      <c r="C49">
        <v>21</v>
      </c>
      <c r="D49">
        <v>4</v>
      </c>
      <c r="E49">
        <v>6</v>
      </c>
      <c r="F49">
        <v>32</v>
      </c>
      <c r="G49">
        <v>25.53627753</v>
      </c>
      <c r="H49">
        <v>2.1691319999999998E-3</v>
      </c>
      <c r="I49" t="s">
        <v>284</v>
      </c>
      <c r="J49" t="s">
        <v>285</v>
      </c>
      <c r="K49" t="s">
        <v>284</v>
      </c>
      <c r="L49" t="s">
        <v>12</v>
      </c>
      <c r="M49">
        <v>8192</v>
      </c>
      <c r="N49">
        <f t="shared" si="1"/>
        <v>3.1172213781738281E-3</v>
      </c>
      <c r="O49" s="1">
        <f t="shared" si="2"/>
        <v>2.6478662109374998E-7</v>
      </c>
      <c r="P49">
        <v>4</v>
      </c>
    </row>
    <row r="50" spans="1:16" x14ac:dyDescent="0.35">
      <c r="A50">
        <v>10</v>
      </c>
      <c r="B50">
        <v>1</v>
      </c>
      <c r="C50">
        <v>21</v>
      </c>
      <c r="D50">
        <v>8</v>
      </c>
      <c r="E50">
        <v>2</v>
      </c>
      <c r="F50">
        <v>32</v>
      </c>
      <c r="G50">
        <v>24.70934033</v>
      </c>
      <c r="H50">
        <v>2.880812E-3</v>
      </c>
      <c r="I50" t="s">
        <v>286</v>
      </c>
      <c r="J50" t="s">
        <v>287</v>
      </c>
      <c r="K50" t="s">
        <v>286</v>
      </c>
      <c r="L50" t="s">
        <v>12</v>
      </c>
      <c r="M50">
        <v>8192</v>
      </c>
      <c r="N50">
        <f t="shared" si="1"/>
        <v>3.0162768957519531E-3</v>
      </c>
      <c r="O50" s="1">
        <f t="shared" si="2"/>
        <v>3.5166162109374999E-7</v>
      </c>
      <c r="P50">
        <v>1</v>
      </c>
    </row>
    <row r="51" spans="1:16" x14ac:dyDescent="0.35">
      <c r="A51">
        <v>10</v>
      </c>
      <c r="B51">
        <v>1</v>
      </c>
      <c r="C51">
        <v>21</v>
      </c>
      <c r="D51">
        <v>3</v>
      </c>
      <c r="E51">
        <v>7</v>
      </c>
      <c r="F51">
        <v>32</v>
      </c>
      <c r="G51">
        <v>25.061631680000001</v>
      </c>
      <c r="H51">
        <v>2.9928680000000001E-3</v>
      </c>
      <c r="I51" t="s">
        <v>288</v>
      </c>
      <c r="J51" t="s">
        <v>289</v>
      </c>
      <c r="K51" t="s">
        <v>288</v>
      </c>
      <c r="L51" t="s">
        <v>12</v>
      </c>
      <c r="M51">
        <v>8192</v>
      </c>
      <c r="N51">
        <f t="shared" si="1"/>
        <v>3.0592812109375002E-3</v>
      </c>
      <c r="O51" s="1">
        <f t="shared" si="2"/>
        <v>3.6534033203125001E-7</v>
      </c>
      <c r="P51">
        <v>5</v>
      </c>
    </row>
    <row r="52" spans="1:16" x14ac:dyDescent="0.35">
      <c r="A52">
        <v>9</v>
      </c>
      <c r="B52">
        <v>1</v>
      </c>
      <c r="C52">
        <v>19</v>
      </c>
      <c r="D52">
        <v>4</v>
      </c>
      <c r="E52">
        <v>5</v>
      </c>
      <c r="F52">
        <v>29</v>
      </c>
      <c r="G52">
        <v>14.938520670000001</v>
      </c>
      <c r="H52">
        <v>2.035856E-3</v>
      </c>
      <c r="I52" t="s">
        <v>290</v>
      </c>
      <c r="J52" t="s">
        <v>291</v>
      </c>
      <c r="K52" t="s">
        <v>290</v>
      </c>
      <c r="L52" t="s">
        <v>12</v>
      </c>
      <c r="M52">
        <v>4096</v>
      </c>
      <c r="N52">
        <f t="shared" si="1"/>
        <v>3.647099772949219E-3</v>
      </c>
      <c r="O52" s="1">
        <f t="shared" si="2"/>
        <v>4.9703515624999999E-7</v>
      </c>
      <c r="P52">
        <v>3</v>
      </c>
    </row>
    <row r="53" spans="1:16" x14ac:dyDescent="0.35">
      <c r="A53">
        <v>9</v>
      </c>
      <c r="B53">
        <v>1</v>
      </c>
      <c r="C53">
        <v>19</v>
      </c>
      <c r="D53">
        <v>3</v>
      </c>
      <c r="E53">
        <v>6</v>
      </c>
      <c r="F53">
        <v>29</v>
      </c>
      <c r="G53">
        <v>14.577201840000001</v>
      </c>
      <c r="H53">
        <v>2.087593E-3</v>
      </c>
      <c r="I53" t="s">
        <v>292</v>
      </c>
      <c r="J53" t="s">
        <v>293</v>
      </c>
      <c r="K53" t="s">
        <v>292</v>
      </c>
      <c r="L53" t="s">
        <v>12</v>
      </c>
      <c r="M53">
        <v>4096</v>
      </c>
      <c r="N53">
        <f t="shared" si="1"/>
        <v>3.5588871679687502E-3</v>
      </c>
      <c r="O53" s="1">
        <f t="shared" si="2"/>
        <v>5.09666259765625E-7</v>
      </c>
      <c r="P53">
        <v>4</v>
      </c>
    </row>
    <row r="54" spans="1:16" x14ac:dyDescent="0.35">
      <c r="A54">
        <v>9</v>
      </c>
      <c r="B54">
        <v>1</v>
      </c>
      <c r="C54">
        <v>19</v>
      </c>
      <c r="D54">
        <v>3</v>
      </c>
      <c r="E54">
        <v>6</v>
      </c>
      <c r="F54">
        <v>29</v>
      </c>
      <c r="G54">
        <v>14.75330782</v>
      </c>
      <c r="H54">
        <v>2.0143990000000001E-3</v>
      </c>
      <c r="I54" t="s">
        <v>294</v>
      </c>
      <c r="J54" t="s">
        <v>295</v>
      </c>
      <c r="K54" t="s">
        <v>294</v>
      </c>
      <c r="L54" t="s">
        <v>12</v>
      </c>
      <c r="M54">
        <v>4096</v>
      </c>
      <c r="N54">
        <f t="shared" si="1"/>
        <v>3.6018817919921875E-3</v>
      </c>
      <c r="O54" s="1">
        <f t="shared" si="2"/>
        <v>4.9179663085937501E-7</v>
      </c>
      <c r="P54">
        <v>3</v>
      </c>
    </row>
    <row r="55" spans="1:16" x14ac:dyDescent="0.35">
      <c r="A55">
        <v>9</v>
      </c>
      <c r="B55">
        <v>1</v>
      </c>
      <c r="C55">
        <v>19</v>
      </c>
      <c r="D55">
        <v>6</v>
      </c>
      <c r="E55">
        <v>3</v>
      </c>
      <c r="F55">
        <v>29</v>
      </c>
      <c r="G55">
        <v>14.79332089</v>
      </c>
      <c r="H55">
        <v>2.0754340000000001E-3</v>
      </c>
      <c r="I55" t="s">
        <v>296</v>
      </c>
      <c r="J55" t="s">
        <v>296</v>
      </c>
      <c r="K55" t="s">
        <v>296</v>
      </c>
      <c r="L55" t="s">
        <v>12</v>
      </c>
      <c r="M55">
        <v>4096</v>
      </c>
      <c r="N55">
        <f t="shared" si="1"/>
        <v>3.6116506079101563E-3</v>
      </c>
      <c r="O55" s="1">
        <f t="shared" si="2"/>
        <v>5.0669775390625003E-7</v>
      </c>
      <c r="P55">
        <v>0</v>
      </c>
    </row>
    <row r="56" spans="1:16" x14ac:dyDescent="0.35">
      <c r="A56">
        <v>9</v>
      </c>
      <c r="B56">
        <v>1</v>
      </c>
      <c r="C56">
        <v>19</v>
      </c>
      <c r="D56">
        <v>6</v>
      </c>
      <c r="E56">
        <v>3</v>
      </c>
      <c r="F56">
        <v>29</v>
      </c>
      <c r="G56">
        <v>14.688640360000001</v>
      </c>
      <c r="H56">
        <v>2.1007059999999999E-3</v>
      </c>
      <c r="I56" t="s">
        <v>125</v>
      </c>
      <c r="J56" t="s">
        <v>125</v>
      </c>
      <c r="K56" t="s">
        <v>125</v>
      </c>
      <c r="L56" t="s">
        <v>12</v>
      </c>
      <c r="M56">
        <v>4096</v>
      </c>
      <c r="N56">
        <f t="shared" si="1"/>
        <v>3.5860938378906252E-3</v>
      </c>
      <c r="O56" s="1">
        <f t="shared" si="2"/>
        <v>5.1286767578124998E-7</v>
      </c>
      <c r="P56">
        <v>0</v>
      </c>
    </row>
    <row r="57" spans="1:16" x14ac:dyDescent="0.35">
      <c r="A57">
        <v>9</v>
      </c>
      <c r="B57">
        <v>1</v>
      </c>
      <c r="C57">
        <v>19</v>
      </c>
      <c r="D57">
        <v>7</v>
      </c>
      <c r="E57">
        <v>2</v>
      </c>
      <c r="F57">
        <v>29</v>
      </c>
      <c r="G57">
        <v>14.633138900000001</v>
      </c>
      <c r="H57">
        <v>2.152443E-3</v>
      </c>
      <c r="I57" t="s">
        <v>297</v>
      </c>
      <c r="J57" t="s">
        <v>298</v>
      </c>
      <c r="K57" t="s">
        <v>297</v>
      </c>
      <c r="L57" t="s">
        <v>12</v>
      </c>
      <c r="M57">
        <v>4096</v>
      </c>
      <c r="N57">
        <f t="shared" si="1"/>
        <v>3.5725436767578126E-3</v>
      </c>
      <c r="O57" s="1">
        <f t="shared" si="2"/>
        <v>5.2549877929687499E-7</v>
      </c>
      <c r="P57">
        <v>1</v>
      </c>
    </row>
    <row r="58" spans="1:16" x14ac:dyDescent="0.35">
      <c r="A58">
        <v>9</v>
      </c>
      <c r="B58">
        <v>1</v>
      </c>
      <c r="C58">
        <v>19</v>
      </c>
      <c r="D58">
        <v>7</v>
      </c>
      <c r="E58">
        <v>2</v>
      </c>
      <c r="F58">
        <v>29</v>
      </c>
      <c r="G58">
        <v>14.748100040000001</v>
      </c>
      <c r="H58">
        <v>2.1324159999999998E-3</v>
      </c>
      <c r="I58" t="s">
        <v>299</v>
      </c>
      <c r="J58" t="s">
        <v>298</v>
      </c>
      <c r="K58" t="s">
        <v>299</v>
      </c>
      <c r="L58" t="s">
        <v>12</v>
      </c>
      <c r="M58">
        <v>4096</v>
      </c>
      <c r="N58">
        <f t="shared" si="1"/>
        <v>3.6006103613281252E-3</v>
      </c>
      <c r="O58" s="1">
        <f t="shared" si="2"/>
        <v>5.2060937499999996E-7</v>
      </c>
      <c r="P58">
        <v>1</v>
      </c>
    </row>
    <row r="59" spans="1:16" x14ac:dyDescent="0.35">
      <c r="A59">
        <v>9</v>
      </c>
      <c r="B59">
        <v>1</v>
      </c>
      <c r="C59">
        <v>19</v>
      </c>
      <c r="D59">
        <v>6</v>
      </c>
      <c r="E59">
        <v>3</v>
      </c>
      <c r="F59">
        <v>29</v>
      </c>
      <c r="G59">
        <v>14.64745617</v>
      </c>
      <c r="H59">
        <v>2.300262E-3</v>
      </c>
      <c r="I59" t="s">
        <v>300</v>
      </c>
      <c r="J59" t="s">
        <v>300</v>
      </c>
      <c r="K59" t="s">
        <v>300</v>
      </c>
      <c r="L59" t="s">
        <v>12</v>
      </c>
      <c r="M59">
        <v>4096</v>
      </c>
      <c r="N59">
        <f t="shared" si="1"/>
        <v>3.5760391040039062E-3</v>
      </c>
      <c r="O59" s="1">
        <f t="shared" si="2"/>
        <v>5.6158740234374999E-7</v>
      </c>
      <c r="P59">
        <v>0</v>
      </c>
    </row>
    <row r="60" spans="1:16" x14ac:dyDescent="0.35">
      <c r="A60">
        <v>9</v>
      </c>
      <c r="B60">
        <v>1</v>
      </c>
      <c r="C60">
        <v>19</v>
      </c>
      <c r="D60">
        <v>3</v>
      </c>
      <c r="E60">
        <v>6</v>
      </c>
      <c r="F60">
        <v>29</v>
      </c>
      <c r="G60">
        <v>14.56031799</v>
      </c>
      <c r="H60">
        <v>2.235889E-3</v>
      </c>
      <c r="I60" t="s">
        <v>301</v>
      </c>
      <c r="J60" t="s">
        <v>125</v>
      </c>
      <c r="K60" t="s">
        <v>301</v>
      </c>
      <c r="L60" t="s">
        <v>12</v>
      </c>
      <c r="M60">
        <v>4096</v>
      </c>
      <c r="N60">
        <f t="shared" si="1"/>
        <v>3.5547651342773437E-3</v>
      </c>
      <c r="O60" s="1">
        <f t="shared" si="2"/>
        <v>5.45871337890625E-7</v>
      </c>
      <c r="P60">
        <v>3</v>
      </c>
    </row>
    <row r="61" spans="1:16" x14ac:dyDescent="0.35">
      <c r="A61">
        <v>9</v>
      </c>
      <c r="B61">
        <v>1</v>
      </c>
      <c r="C61">
        <v>19</v>
      </c>
      <c r="D61">
        <v>4</v>
      </c>
      <c r="E61">
        <v>5</v>
      </c>
      <c r="F61">
        <v>29</v>
      </c>
      <c r="G61">
        <v>14.474804880000001</v>
      </c>
      <c r="H61">
        <v>2.0480160000000002E-3</v>
      </c>
      <c r="I61" t="s">
        <v>302</v>
      </c>
      <c r="J61" t="s">
        <v>303</v>
      </c>
      <c r="K61" t="s">
        <v>302</v>
      </c>
      <c r="L61" t="s">
        <v>12</v>
      </c>
      <c r="M61">
        <v>4096</v>
      </c>
      <c r="N61">
        <f t="shared" si="1"/>
        <v>3.5338879101562502E-3</v>
      </c>
      <c r="O61" s="1">
        <f t="shared" si="2"/>
        <v>5.0000390625000004E-7</v>
      </c>
      <c r="P61">
        <v>4</v>
      </c>
    </row>
    <row r="62" spans="1:16" x14ac:dyDescent="0.35">
      <c r="A62">
        <v>8</v>
      </c>
      <c r="B62">
        <v>1</v>
      </c>
      <c r="C62">
        <v>17</v>
      </c>
      <c r="D62">
        <v>6</v>
      </c>
      <c r="E62">
        <v>2</v>
      </c>
      <c r="F62">
        <v>26</v>
      </c>
      <c r="G62">
        <v>9.5438325410000004</v>
      </c>
      <c r="H62">
        <v>2.0151140000000001E-3</v>
      </c>
      <c r="I62" t="s">
        <v>304</v>
      </c>
      <c r="J62" t="s">
        <v>129</v>
      </c>
      <c r="K62" t="s">
        <v>304</v>
      </c>
      <c r="L62" t="s">
        <v>12</v>
      </c>
      <c r="M62">
        <v>2048</v>
      </c>
      <c r="N62">
        <f t="shared" si="1"/>
        <v>4.6600744829101565E-3</v>
      </c>
      <c r="O62" s="1">
        <f t="shared" si="2"/>
        <v>9.8394238281250007E-7</v>
      </c>
      <c r="P62">
        <v>1</v>
      </c>
    </row>
    <row r="63" spans="1:16" x14ac:dyDescent="0.35">
      <c r="A63">
        <v>8</v>
      </c>
      <c r="B63">
        <v>1</v>
      </c>
      <c r="C63">
        <v>17</v>
      </c>
      <c r="D63">
        <v>3</v>
      </c>
      <c r="E63">
        <v>5</v>
      </c>
      <c r="F63">
        <v>26</v>
      </c>
      <c r="G63">
        <v>9.4201018810000008</v>
      </c>
      <c r="H63">
        <v>2.4085040000000001E-3</v>
      </c>
      <c r="I63" t="s">
        <v>305</v>
      </c>
      <c r="J63" t="s">
        <v>306</v>
      </c>
      <c r="K63" t="s">
        <v>305</v>
      </c>
      <c r="L63" t="s">
        <v>12</v>
      </c>
      <c r="M63">
        <v>2048</v>
      </c>
      <c r="N63">
        <f t="shared" si="1"/>
        <v>4.5996591215820316E-3</v>
      </c>
      <c r="O63" s="1">
        <f t="shared" si="2"/>
        <v>1.1760273437500001E-6</v>
      </c>
      <c r="P63">
        <v>3</v>
      </c>
    </row>
    <row r="64" spans="1:16" x14ac:dyDescent="0.35">
      <c r="A64">
        <v>8</v>
      </c>
      <c r="B64">
        <v>1</v>
      </c>
      <c r="C64">
        <v>17</v>
      </c>
      <c r="D64">
        <v>3</v>
      </c>
      <c r="E64">
        <v>5</v>
      </c>
      <c r="F64">
        <v>26</v>
      </c>
      <c r="G64">
        <v>9.3275363450000004</v>
      </c>
      <c r="H64">
        <v>2.0205969999999998E-3</v>
      </c>
      <c r="I64" t="s">
        <v>307</v>
      </c>
      <c r="J64" t="s">
        <v>308</v>
      </c>
      <c r="K64" t="s">
        <v>307</v>
      </c>
      <c r="L64" t="s">
        <v>12</v>
      </c>
      <c r="M64">
        <v>2048</v>
      </c>
      <c r="N64">
        <f t="shared" si="1"/>
        <v>4.5544611059570314E-3</v>
      </c>
      <c r="O64" s="1">
        <f t="shared" si="2"/>
        <v>9.8661962890624992E-7</v>
      </c>
      <c r="P64">
        <v>3</v>
      </c>
    </row>
    <row r="65" spans="1:16" x14ac:dyDescent="0.35">
      <c r="A65">
        <v>8</v>
      </c>
      <c r="B65">
        <v>1</v>
      </c>
      <c r="C65">
        <v>17</v>
      </c>
      <c r="D65">
        <v>3</v>
      </c>
      <c r="E65">
        <v>5</v>
      </c>
      <c r="F65">
        <v>26</v>
      </c>
      <c r="G65">
        <v>9.7461848260000004</v>
      </c>
      <c r="H65">
        <v>2.1076200000000002E-3</v>
      </c>
      <c r="I65" t="s">
        <v>309</v>
      </c>
      <c r="J65" t="s">
        <v>309</v>
      </c>
      <c r="K65" t="s">
        <v>309</v>
      </c>
      <c r="L65" t="s">
        <v>12</v>
      </c>
      <c r="M65">
        <v>2048</v>
      </c>
      <c r="N65">
        <f t="shared" si="1"/>
        <v>4.7588793095703127E-3</v>
      </c>
      <c r="O65" s="1">
        <f t="shared" si="2"/>
        <v>1.0291113281250001E-6</v>
      </c>
      <c r="P65">
        <v>0</v>
      </c>
    </row>
    <row r="66" spans="1:16" x14ac:dyDescent="0.35">
      <c r="A66">
        <v>8</v>
      </c>
      <c r="B66">
        <v>1</v>
      </c>
      <c r="C66">
        <v>17</v>
      </c>
      <c r="D66">
        <v>7</v>
      </c>
      <c r="E66">
        <v>1</v>
      </c>
      <c r="F66">
        <v>26</v>
      </c>
      <c r="G66">
        <v>9.0238647459999992</v>
      </c>
      <c r="H66">
        <v>2.1908280000000001E-3</v>
      </c>
      <c r="I66" t="s">
        <v>310</v>
      </c>
      <c r="J66" t="s">
        <v>310</v>
      </c>
      <c r="K66" t="s">
        <v>310</v>
      </c>
      <c r="L66" t="s">
        <v>12</v>
      </c>
      <c r="M66">
        <v>2048</v>
      </c>
      <c r="N66">
        <f t="shared" si="1"/>
        <v>4.4061839580078121E-3</v>
      </c>
      <c r="O66" s="1">
        <f t="shared" si="2"/>
        <v>1.0697402343750001E-6</v>
      </c>
      <c r="P66">
        <v>0</v>
      </c>
    </row>
    <row r="67" spans="1:16" x14ac:dyDescent="0.35">
      <c r="A67">
        <v>8</v>
      </c>
      <c r="B67">
        <v>1</v>
      </c>
      <c r="C67">
        <v>17</v>
      </c>
      <c r="D67">
        <v>5</v>
      </c>
      <c r="E67">
        <v>3</v>
      </c>
      <c r="F67">
        <v>26</v>
      </c>
      <c r="G67">
        <v>9.5080351830000005</v>
      </c>
      <c r="H67">
        <v>2.0716189999999998E-3</v>
      </c>
      <c r="I67" t="s">
        <v>311</v>
      </c>
      <c r="J67" t="s">
        <v>311</v>
      </c>
      <c r="K67" t="s">
        <v>311</v>
      </c>
      <c r="L67" t="s">
        <v>12</v>
      </c>
      <c r="M67">
        <v>2048</v>
      </c>
      <c r="N67">
        <f t="shared" ref="N67:N125" si="3">G67/M67</f>
        <v>4.642595304199219E-3</v>
      </c>
      <c r="O67" s="1">
        <f t="shared" ref="O67:O125" si="4">H67/M67</f>
        <v>1.0115327148437499E-6</v>
      </c>
      <c r="P67">
        <v>0</v>
      </c>
    </row>
    <row r="68" spans="1:16" x14ac:dyDescent="0.35">
      <c r="A68">
        <v>8</v>
      </c>
      <c r="B68">
        <v>1</v>
      </c>
      <c r="C68">
        <v>17</v>
      </c>
      <c r="D68">
        <v>3</v>
      </c>
      <c r="E68">
        <v>5</v>
      </c>
      <c r="F68">
        <v>26</v>
      </c>
      <c r="G68">
        <v>9.4924421310000007</v>
      </c>
      <c r="H68">
        <v>1.9245149999999999E-3</v>
      </c>
      <c r="I68" t="s">
        <v>312</v>
      </c>
      <c r="J68" t="s">
        <v>313</v>
      </c>
      <c r="K68" t="s">
        <v>312</v>
      </c>
      <c r="L68" t="s">
        <v>12</v>
      </c>
      <c r="M68">
        <v>2048</v>
      </c>
      <c r="N68">
        <f t="shared" si="3"/>
        <v>4.6349815092773441E-3</v>
      </c>
      <c r="O68" s="1">
        <f t="shared" si="4"/>
        <v>9.3970458984374995E-7</v>
      </c>
      <c r="P68">
        <v>1</v>
      </c>
    </row>
    <row r="69" spans="1:16" x14ac:dyDescent="0.35">
      <c r="A69">
        <v>8</v>
      </c>
      <c r="B69">
        <v>1</v>
      </c>
      <c r="C69">
        <v>17</v>
      </c>
      <c r="D69">
        <v>2</v>
      </c>
      <c r="E69">
        <v>6</v>
      </c>
      <c r="F69">
        <v>26</v>
      </c>
      <c r="G69">
        <v>9.2002835269999999</v>
      </c>
      <c r="H69">
        <v>2.054214E-3</v>
      </c>
      <c r="I69" t="s">
        <v>314</v>
      </c>
      <c r="J69" t="s">
        <v>315</v>
      </c>
      <c r="K69" t="s">
        <v>314</v>
      </c>
      <c r="L69" t="s">
        <v>12</v>
      </c>
      <c r="M69">
        <v>2048</v>
      </c>
      <c r="N69">
        <f t="shared" si="3"/>
        <v>4.4923259409179687E-3</v>
      </c>
      <c r="O69" s="1">
        <f t="shared" si="4"/>
        <v>1.0030341796875E-6</v>
      </c>
      <c r="P69">
        <v>4</v>
      </c>
    </row>
    <row r="70" spans="1:16" x14ac:dyDescent="0.35">
      <c r="A70">
        <v>8</v>
      </c>
      <c r="B70">
        <v>1</v>
      </c>
      <c r="C70">
        <v>17</v>
      </c>
      <c r="D70">
        <v>2</v>
      </c>
      <c r="E70">
        <v>6</v>
      </c>
      <c r="F70">
        <v>26</v>
      </c>
      <c r="G70">
        <v>9.4960391519999998</v>
      </c>
      <c r="H70">
        <v>2.078533E-3</v>
      </c>
      <c r="I70" t="s">
        <v>137</v>
      </c>
      <c r="J70" t="s">
        <v>316</v>
      </c>
      <c r="K70" t="s">
        <v>137</v>
      </c>
      <c r="L70" t="s">
        <v>12</v>
      </c>
      <c r="M70">
        <v>2048</v>
      </c>
      <c r="N70">
        <f t="shared" si="3"/>
        <v>4.6367378671874999E-3</v>
      </c>
      <c r="O70" s="1">
        <f t="shared" si="4"/>
        <v>1.01490869140625E-6</v>
      </c>
      <c r="P70">
        <v>5</v>
      </c>
    </row>
    <row r="71" spans="1:16" x14ac:dyDescent="0.35">
      <c r="A71">
        <v>8</v>
      </c>
      <c r="B71">
        <v>1</v>
      </c>
      <c r="C71">
        <v>17</v>
      </c>
      <c r="D71">
        <v>5</v>
      </c>
      <c r="E71">
        <v>3</v>
      </c>
      <c r="F71">
        <v>26</v>
      </c>
      <c r="G71">
        <v>9.2851893899999993</v>
      </c>
      <c r="H71">
        <v>1.9454959999999999E-3</v>
      </c>
      <c r="I71" t="s">
        <v>317</v>
      </c>
      <c r="J71" t="s">
        <v>317</v>
      </c>
      <c r="K71" t="s">
        <v>317</v>
      </c>
      <c r="L71" t="s">
        <v>12</v>
      </c>
      <c r="M71">
        <v>2048</v>
      </c>
      <c r="N71">
        <f t="shared" si="3"/>
        <v>4.5337838818359372E-3</v>
      </c>
      <c r="O71" s="1">
        <f t="shared" si="4"/>
        <v>9.4994921874999995E-7</v>
      </c>
      <c r="P71">
        <v>0</v>
      </c>
    </row>
    <row r="72" spans="1:16" x14ac:dyDescent="0.35">
      <c r="A72">
        <v>7</v>
      </c>
      <c r="B72">
        <v>1</v>
      </c>
      <c r="C72">
        <v>15</v>
      </c>
      <c r="D72">
        <v>4</v>
      </c>
      <c r="E72">
        <v>3</v>
      </c>
      <c r="F72">
        <v>23</v>
      </c>
      <c r="G72">
        <v>6.5440628529999998</v>
      </c>
      <c r="H72">
        <v>1.8990039999999999E-3</v>
      </c>
      <c r="I72" t="s">
        <v>318</v>
      </c>
      <c r="J72" t="s">
        <v>318</v>
      </c>
      <c r="K72" t="s">
        <v>318</v>
      </c>
      <c r="L72" t="s">
        <v>12</v>
      </c>
      <c r="M72">
        <v>1024</v>
      </c>
      <c r="N72">
        <f t="shared" si="3"/>
        <v>6.3906863798828123E-3</v>
      </c>
      <c r="O72" s="1">
        <f t="shared" si="4"/>
        <v>1.8544960937499999E-6</v>
      </c>
      <c r="P72">
        <v>0</v>
      </c>
    </row>
    <row r="73" spans="1:16" x14ac:dyDescent="0.35">
      <c r="A73">
        <v>7</v>
      </c>
      <c r="B73">
        <v>1</v>
      </c>
      <c r="C73">
        <v>15</v>
      </c>
      <c r="D73">
        <v>4</v>
      </c>
      <c r="E73">
        <v>3</v>
      </c>
      <c r="F73">
        <v>23</v>
      </c>
      <c r="G73">
        <v>6.6937680239999997</v>
      </c>
      <c r="H73">
        <v>1.9834039999999998E-3</v>
      </c>
      <c r="I73" t="s">
        <v>319</v>
      </c>
      <c r="J73" t="s">
        <v>319</v>
      </c>
      <c r="K73" t="s">
        <v>319</v>
      </c>
      <c r="L73" t="s">
        <v>12</v>
      </c>
      <c r="M73">
        <v>1024</v>
      </c>
      <c r="N73">
        <f t="shared" si="3"/>
        <v>6.5368828359374997E-3</v>
      </c>
      <c r="O73" s="1">
        <f t="shared" si="4"/>
        <v>1.9369179687499998E-6</v>
      </c>
      <c r="P73">
        <v>0</v>
      </c>
    </row>
    <row r="74" spans="1:16" x14ac:dyDescent="0.35">
      <c r="A74">
        <v>7</v>
      </c>
      <c r="B74">
        <v>1</v>
      </c>
      <c r="C74">
        <v>15</v>
      </c>
      <c r="D74">
        <v>3</v>
      </c>
      <c r="E74">
        <v>4</v>
      </c>
      <c r="F74">
        <v>23</v>
      </c>
      <c r="G74">
        <v>6.8551816939999997</v>
      </c>
      <c r="H74">
        <v>2.0141600000000001E-3</v>
      </c>
      <c r="I74" t="s">
        <v>150</v>
      </c>
      <c r="J74" t="s">
        <v>320</v>
      </c>
      <c r="K74" t="s">
        <v>150</v>
      </c>
      <c r="L74" t="s">
        <v>12</v>
      </c>
      <c r="M74">
        <v>1024</v>
      </c>
      <c r="N74">
        <f t="shared" si="3"/>
        <v>6.6945133730468747E-3</v>
      </c>
      <c r="O74" s="1">
        <f t="shared" si="4"/>
        <v>1.9669531250000001E-6</v>
      </c>
      <c r="P74">
        <v>2</v>
      </c>
    </row>
    <row r="75" spans="1:16" x14ac:dyDescent="0.35">
      <c r="A75">
        <v>7</v>
      </c>
      <c r="B75">
        <v>1</v>
      </c>
      <c r="C75">
        <v>15</v>
      </c>
      <c r="D75">
        <v>1</v>
      </c>
      <c r="E75">
        <v>6</v>
      </c>
      <c r="F75">
        <v>23</v>
      </c>
      <c r="G75">
        <v>6.701915026</v>
      </c>
      <c r="H75">
        <v>2.1634100000000002E-3</v>
      </c>
      <c r="I75" t="s">
        <v>144</v>
      </c>
      <c r="J75" t="s">
        <v>321</v>
      </c>
      <c r="K75" t="s">
        <v>144</v>
      </c>
      <c r="L75" t="s">
        <v>12</v>
      </c>
      <c r="M75">
        <v>1024</v>
      </c>
      <c r="N75">
        <f t="shared" si="3"/>
        <v>6.544838892578125E-3</v>
      </c>
      <c r="O75" s="1">
        <f t="shared" si="4"/>
        <v>2.1127050781250002E-6</v>
      </c>
      <c r="P75">
        <v>4</v>
      </c>
    </row>
    <row r="76" spans="1:16" x14ac:dyDescent="0.35">
      <c r="A76">
        <v>7</v>
      </c>
      <c r="B76">
        <v>1</v>
      </c>
      <c r="C76">
        <v>15</v>
      </c>
      <c r="D76">
        <v>4</v>
      </c>
      <c r="E76">
        <v>3</v>
      </c>
      <c r="F76">
        <v>23</v>
      </c>
      <c r="G76">
        <v>6.6446053980000004</v>
      </c>
      <c r="H76">
        <v>3.6799910000000001E-3</v>
      </c>
      <c r="I76" t="s">
        <v>322</v>
      </c>
      <c r="J76" t="s">
        <v>322</v>
      </c>
      <c r="K76" t="s">
        <v>322</v>
      </c>
      <c r="L76" t="s">
        <v>12</v>
      </c>
      <c r="M76">
        <v>1024</v>
      </c>
      <c r="N76">
        <f t="shared" si="3"/>
        <v>6.4888724589843754E-3</v>
      </c>
      <c r="O76" s="1">
        <f t="shared" si="4"/>
        <v>3.5937412109375001E-6</v>
      </c>
      <c r="P76">
        <v>0</v>
      </c>
    </row>
    <row r="77" spans="1:16" x14ac:dyDescent="0.35">
      <c r="A77">
        <v>7</v>
      </c>
      <c r="B77">
        <v>1</v>
      </c>
      <c r="C77">
        <v>15</v>
      </c>
      <c r="D77">
        <v>2</v>
      </c>
      <c r="E77">
        <v>5</v>
      </c>
      <c r="F77">
        <v>23</v>
      </c>
      <c r="G77">
        <v>6.7131888870000003</v>
      </c>
      <c r="H77">
        <v>2.101421E-3</v>
      </c>
      <c r="I77" t="s">
        <v>323</v>
      </c>
      <c r="J77" t="s">
        <v>324</v>
      </c>
      <c r="K77" t="s">
        <v>323</v>
      </c>
      <c r="L77" t="s">
        <v>12</v>
      </c>
      <c r="M77">
        <v>1024</v>
      </c>
      <c r="N77">
        <f t="shared" si="3"/>
        <v>6.5558485224609378E-3</v>
      </c>
      <c r="O77" s="1">
        <f t="shared" si="4"/>
        <v>2.0521689453125E-6</v>
      </c>
      <c r="P77">
        <v>2</v>
      </c>
    </row>
    <row r="78" spans="1:16" x14ac:dyDescent="0.35">
      <c r="A78">
        <v>7</v>
      </c>
      <c r="B78">
        <v>1</v>
      </c>
      <c r="C78">
        <v>15</v>
      </c>
      <c r="D78">
        <v>5</v>
      </c>
      <c r="E78">
        <v>2</v>
      </c>
      <c r="F78">
        <v>23</v>
      </c>
      <c r="G78">
        <v>6.638051033</v>
      </c>
      <c r="H78">
        <v>1.8315320000000001E-3</v>
      </c>
      <c r="I78" t="s">
        <v>325</v>
      </c>
      <c r="J78" t="s">
        <v>147</v>
      </c>
      <c r="K78" t="s">
        <v>325</v>
      </c>
      <c r="L78" t="s">
        <v>12</v>
      </c>
      <c r="M78">
        <v>1024</v>
      </c>
      <c r="N78">
        <f t="shared" si="3"/>
        <v>6.4824717119140625E-3</v>
      </c>
      <c r="O78" s="1">
        <f t="shared" si="4"/>
        <v>1.7886054687500001E-6</v>
      </c>
      <c r="P78">
        <v>1</v>
      </c>
    </row>
    <row r="79" spans="1:16" x14ac:dyDescent="0.35">
      <c r="A79">
        <v>7</v>
      </c>
      <c r="B79">
        <v>1</v>
      </c>
      <c r="C79">
        <v>15</v>
      </c>
      <c r="D79">
        <v>5</v>
      </c>
      <c r="E79">
        <v>2</v>
      </c>
      <c r="F79">
        <v>23</v>
      </c>
      <c r="G79">
        <v>6.3316650389999998</v>
      </c>
      <c r="H79">
        <v>2.268314E-3</v>
      </c>
      <c r="I79" t="s">
        <v>320</v>
      </c>
      <c r="J79" t="s">
        <v>147</v>
      </c>
      <c r="K79" t="s">
        <v>320</v>
      </c>
      <c r="L79" t="s">
        <v>12</v>
      </c>
      <c r="M79">
        <v>1024</v>
      </c>
      <c r="N79">
        <f t="shared" si="3"/>
        <v>6.1832666396484373E-3</v>
      </c>
      <c r="O79" s="1">
        <f t="shared" si="4"/>
        <v>2.215150390625E-6</v>
      </c>
      <c r="P79">
        <v>1</v>
      </c>
    </row>
    <row r="80" spans="1:16" x14ac:dyDescent="0.35">
      <c r="A80">
        <v>7</v>
      </c>
      <c r="B80">
        <v>1</v>
      </c>
      <c r="C80">
        <v>15</v>
      </c>
      <c r="D80">
        <v>3</v>
      </c>
      <c r="E80">
        <v>4</v>
      </c>
      <c r="F80">
        <v>23</v>
      </c>
      <c r="G80">
        <v>6.752380133</v>
      </c>
      <c r="H80">
        <v>1.991034E-3</v>
      </c>
      <c r="I80" t="s">
        <v>326</v>
      </c>
      <c r="J80" t="s">
        <v>327</v>
      </c>
      <c r="K80" t="s">
        <v>326</v>
      </c>
      <c r="L80" t="s">
        <v>12</v>
      </c>
      <c r="M80">
        <v>1024</v>
      </c>
      <c r="N80">
        <f t="shared" si="3"/>
        <v>6.5941212236328125E-3</v>
      </c>
      <c r="O80" s="1">
        <f t="shared" si="4"/>
        <v>1.944369140625E-6</v>
      </c>
      <c r="P80">
        <v>1</v>
      </c>
    </row>
    <row r="81" spans="1:16" x14ac:dyDescent="0.35">
      <c r="A81">
        <v>7</v>
      </c>
      <c r="B81">
        <v>1</v>
      </c>
      <c r="C81">
        <v>15</v>
      </c>
      <c r="D81">
        <v>4</v>
      </c>
      <c r="E81">
        <v>3</v>
      </c>
      <c r="F81">
        <v>23</v>
      </c>
      <c r="G81">
        <v>6.3342344759999998</v>
      </c>
      <c r="H81">
        <v>2.0694730000000001E-3</v>
      </c>
      <c r="I81" t="s">
        <v>328</v>
      </c>
      <c r="J81" t="s">
        <v>328</v>
      </c>
      <c r="K81" t="s">
        <v>328</v>
      </c>
      <c r="L81" t="s">
        <v>12</v>
      </c>
      <c r="M81">
        <v>1024</v>
      </c>
      <c r="N81">
        <f t="shared" si="3"/>
        <v>6.1857758554687498E-3</v>
      </c>
      <c r="O81" s="1">
        <f t="shared" si="4"/>
        <v>2.0209697265625001E-6</v>
      </c>
      <c r="P81">
        <v>0</v>
      </c>
    </row>
    <row r="82" spans="1:16" x14ac:dyDescent="0.35">
      <c r="A82">
        <v>6</v>
      </c>
      <c r="B82">
        <v>1</v>
      </c>
      <c r="C82">
        <v>13</v>
      </c>
      <c r="D82">
        <v>5</v>
      </c>
      <c r="E82">
        <v>1</v>
      </c>
      <c r="F82">
        <v>20</v>
      </c>
      <c r="G82">
        <v>6.5746970180000002</v>
      </c>
      <c r="H82">
        <v>1.7430779999999999E-3</v>
      </c>
      <c r="I82" t="s">
        <v>329</v>
      </c>
      <c r="J82" t="s">
        <v>329</v>
      </c>
      <c r="K82" t="s">
        <v>329</v>
      </c>
      <c r="L82" t="s">
        <v>12</v>
      </c>
      <c r="M82">
        <v>1024</v>
      </c>
      <c r="N82">
        <f t="shared" si="3"/>
        <v>6.4206025566406252E-3</v>
      </c>
      <c r="O82" s="1">
        <f t="shared" si="4"/>
        <v>1.7022246093749999E-6</v>
      </c>
      <c r="P82">
        <v>0</v>
      </c>
    </row>
    <row r="83" spans="1:16" x14ac:dyDescent="0.35">
      <c r="A83">
        <v>6</v>
      </c>
      <c r="B83">
        <v>1</v>
      </c>
      <c r="C83">
        <v>13</v>
      </c>
      <c r="D83">
        <v>2</v>
      </c>
      <c r="E83">
        <v>4</v>
      </c>
      <c r="F83">
        <v>20</v>
      </c>
      <c r="G83">
        <v>6.4890882970000003</v>
      </c>
      <c r="H83">
        <v>1.7151829999999999E-3</v>
      </c>
      <c r="I83" t="s">
        <v>330</v>
      </c>
      <c r="J83" t="s">
        <v>331</v>
      </c>
      <c r="K83" t="s">
        <v>330</v>
      </c>
      <c r="L83" t="s">
        <v>12</v>
      </c>
      <c r="M83">
        <v>1024</v>
      </c>
      <c r="N83">
        <f t="shared" si="3"/>
        <v>6.3370002900390628E-3</v>
      </c>
      <c r="O83" s="1">
        <f t="shared" si="4"/>
        <v>1.6749833984374999E-6</v>
      </c>
      <c r="P83">
        <v>2</v>
      </c>
    </row>
    <row r="84" spans="1:16" x14ac:dyDescent="0.35">
      <c r="A84">
        <v>6</v>
      </c>
      <c r="B84">
        <v>1</v>
      </c>
      <c r="C84">
        <v>13</v>
      </c>
      <c r="D84">
        <v>2</v>
      </c>
      <c r="E84">
        <v>4</v>
      </c>
      <c r="F84">
        <v>20</v>
      </c>
      <c r="G84">
        <v>6.4765100479999997</v>
      </c>
      <c r="H84">
        <v>1.8453600000000001E-3</v>
      </c>
      <c r="I84" t="s">
        <v>332</v>
      </c>
      <c r="J84" t="s">
        <v>158</v>
      </c>
      <c r="K84" t="s">
        <v>332</v>
      </c>
      <c r="L84" t="s">
        <v>12</v>
      </c>
      <c r="M84">
        <v>1024</v>
      </c>
      <c r="N84">
        <f t="shared" si="3"/>
        <v>6.3247168437499997E-3</v>
      </c>
      <c r="O84" s="1">
        <f t="shared" si="4"/>
        <v>1.8021093750000001E-6</v>
      </c>
      <c r="P84">
        <v>2</v>
      </c>
    </row>
    <row r="85" spans="1:16" x14ac:dyDescent="0.35">
      <c r="A85">
        <v>6</v>
      </c>
      <c r="B85">
        <v>1</v>
      </c>
      <c r="C85">
        <v>13</v>
      </c>
      <c r="D85">
        <v>5</v>
      </c>
      <c r="E85">
        <v>1</v>
      </c>
      <c r="F85">
        <v>20</v>
      </c>
      <c r="G85">
        <v>6.4561886790000003</v>
      </c>
      <c r="H85">
        <v>1.753569E-3</v>
      </c>
      <c r="I85" t="s">
        <v>333</v>
      </c>
      <c r="J85" t="s">
        <v>333</v>
      </c>
      <c r="K85" t="s">
        <v>333</v>
      </c>
      <c r="L85" t="s">
        <v>12</v>
      </c>
      <c r="M85">
        <v>1024</v>
      </c>
      <c r="N85">
        <f t="shared" si="3"/>
        <v>6.3048717568359378E-3</v>
      </c>
      <c r="O85" s="1">
        <f t="shared" si="4"/>
        <v>1.7124697265625E-6</v>
      </c>
      <c r="P85">
        <v>0</v>
      </c>
    </row>
    <row r="86" spans="1:16" x14ac:dyDescent="0.35">
      <c r="A86">
        <v>6</v>
      </c>
      <c r="B86">
        <v>1</v>
      </c>
      <c r="C86">
        <v>13</v>
      </c>
      <c r="D86">
        <v>3</v>
      </c>
      <c r="E86">
        <v>3</v>
      </c>
      <c r="F86">
        <v>20</v>
      </c>
      <c r="G86">
        <v>6.662145615</v>
      </c>
      <c r="H86">
        <v>1.7178060000000001E-3</v>
      </c>
      <c r="I86" t="s">
        <v>334</v>
      </c>
      <c r="J86" t="s">
        <v>334</v>
      </c>
      <c r="K86" t="s">
        <v>334</v>
      </c>
      <c r="L86" t="s">
        <v>12</v>
      </c>
      <c r="M86">
        <v>1024</v>
      </c>
      <c r="N86">
        <f t="shared" si="3"/>
        <v>6.5060015771484375E-3</v>
      </c>
      <c r="O86" s="1">
        <f t="shared" si="4"/>
        <v>1.6775449218750001E-6</v>
      </c>
      <c r="P86">
        <v>0</v>
      </c>
    </row>
    <row r="87" spans="1:16" x14ac:dyDescent="0.35">
      <c r="A87">
        <v>6</v>
      </c>
      <c r="B87">
        <v>1</v>
      </c>
      <c r="C87">
        <v>13</v>
      </c>
      <c r="D87">
        <v>4</v>
      </c>
      <c r="E87">
        <v>2</v>
      </c>
      <c r="F87">
        <v>20</v>
      </c>
      <c r="G87">
        <v>6.6926679609999997</v>
      </c>
      <c r="H87">
        <v>1.8448830000000001E-3</v>
      </c>
      <c r="I87" t="s">
        <v>335</v>
      </c>
      <c r="J87" t="s">
        <v>163</v>
      </c>
      <c r="K87" t="s">
        <v>335</v>
      </c>
      <c r="L87" t="s">
        <v>12</v>
      </c>
      <c r="M87">
        <v>1024</v>
      </c>
      <c r="N87">
        <f t="shared" si="3"/>
        <v>6.5358085556640622E-3</v>
      </c>
      <c r="O87" s="1">
        <f t="shared" si="4"/>
        <v>1.8016435546875001E-6</v>
      </c>
      <c r="P87">
        <v>1</v>
      </c>
    </row>
    <row r="88" spans="1:16" x14ac:dyDescent="0.35">
      <c r="A88">
        <v>6</v>
      </c>
      <c r="B88">
        <v>1</v>
      </c>
      <c r="C88">
        <v>13</v>
      </c>
      <c r="D88">
        <v>4</v>
      </c>
      <c r="E88">
        <v>2</v>
      </c>
      <c r="F88">
        <v>20</v>
      </c>
      <c r="G88">
        <v>6.4743330480000001</v>
      </c>
      <c r="H88">
        <v>1.783848E-3</v>
      </c>
      <c r="I88" t="s">
        <v>336</v>
      </c>
      <c r="J88" t="s">
        <v>337</v>
      </c>
      <c r="K88" t="s">
        <v>336</v>
      </c>
      <c r="L88" t="s">
        <v>12</v>
      </c>
      <c r="M88">
        <v>1024</v>
      </c>
      <c r="N88">
        <f t="shared" si="3"/>
        <v>6.3225908671875001E-3</v>
      </c>
      <c r="O88" s="1">
        <f t="shared" si="4"/>
        <v>1.7420390625E-6</v>
      </c>
      <c r="P88">
        <v>1</v>
      </c>
    </row>
    <row r="89" spans="1:16" x14ac:dyDescent="0.35">
      <c r="A89">
        <v>6</v>
      </c>
      <c r="B89">
        <v>1</v>
      </c>
      <c r="C89">
        <v>13</v>
      </c>
      <c r="D89">
        <v>4</v>
      </c>
      <c r="E89">
        <v>2</v>
      </c>
      <c r="F89">
        <v>20</v>
      </c>
      <c r="G89">
        <v>6.5403478149999996</v>
      </c>
      <c r="H89">
        <v>1.681805E-3</v>
      </c>
      <c r="I89" t="s">
        <v>158</v>
      </c>
      <c r="J89" t="s">
        <v>338</v>
      </c>
      <c r="K89" t="s">
        <v>158</v>
      </c>
      <c r="L89" t="s">
        <v>12</v>
      </c>
      <c r="M89">
        <v>1024</v>
      </c>
      <c r="N89">
        <f t="shared" si="3"/>
        <v>6.3870584130859371E-3</v>
      </c>
      <c r="O89" s="1">
        <f t="shared" si="4"/>
        <v>1.6423876953125E-6</v>
      </c>
      <c r="P89">
        <v>1</v>
      </c>
    </row>
    <row r="90" spans="1:16" x14ac:dyDescent="0.35">
      <c r="A90">
        <v>6</v>
      </c>
      <c r="B90">
        <v>1</v>
      </c>
      <c r="C90">
        <v>13</v>
      </c>
      <c r="D90">
        <v>3</v>
      </c>
      <c r="E90">
        <v>3</v>
      </c>
      <c r="F90">
        <v>20</v>
      </c>
      <c r="G90">
        <v>6.6953995229999999</v>
      </c>
      <c r="H90">
        <v>2.4983879999999998E-3</v>
      </c>
      <c r="I90" t="s">
        <v>339</v>
      </c>
      <c r="J90" t="s">
        <v>339</v>
      </c>
      <c r="K90" t="s">
        <v>339</v>
      </c>
      <c r="L90" t="s">
        <v>12</v>
      </c>
      <c r="M90">
        <v>1024</v>
      </c>
      <c r="N90">
        <f t="shared" si="3"/>
        <v>6.5384760966796874E-3</v>
      </c>
      <c r="O90" s="1">
        <f t="shared" si="4"/>
        <v>2.4398320312499998E-6</v>
      </c>
      <c r="P90">
        <v>0</v>
      </c>
    </row>
    <row r="91" spans="1:16" x14ac:dyDescent="0.35">
      <c r="A91">
        <v>6</v>
      </c>
      <c r="B91">
        <v>1</v>
      </c>
      <c r="C91">
        <v>13</v>
      </c>
      <c r="D91">
        <v>3</v>
      </c>
      <c r="E91">
        <v>3</v>
      </c>
      <c r="F91">
        <v>20</v>
      </c>
      <c r="G91">
        <v>6.6570670600000001</v>
      </c>
      <c r="H91">
        <v>1.700163E-3</v>
      </c>
      <c r="I91" t="s">
        <v>340</v>
      </c>
      <c r="J91" t="s">
        <v>340</v>
      </c>
      <c r="K91" t="s">
        <v>340</v>
      </c>
      <c r="L91" t="s">
        <v>12</v>
      </c>
      <c r="M91">
        <v>1024</v>
      </c>
      <c r="N91">
        <f t="shared" si="3"/>
        <v>6.5010420507812501E-3</v>
      </c>
      <c r="O91" s="1">
        <f t="shared" si="4"/>
        <v>1.6603154296875E-6</v>
      </c>
      <c r="P91">
        <v>0</v>
      </c>
    </row>
    <row r="92" spans="1:16" x14ac:dyDescent="0.35">
      <c r="A92">
        <v>5</v>
      </c>
      <c r="B92">
        <v>1</v>
      </c>
      <c r="C92">
        <v>11</v>
      </c>
      <c r="D92">
        <v>2</v>
      </c>
      <c r="E92">
        <v>3</v>
      </c>
      <c r="F92">
        <v>17</v>
      </c>
      <c r="G92">
        <v>6.2125568390000003</v>
      </c>
      <c r="H92">
        <v>1.5316010000000001E-3</v>
      </c>
      <c r="I92" t="s">
        <v>341</v>
      </c>
      <c r="J92" t="s">
        <v>341</v>
      </c>
      <c r="K92" t="s">
        <v>341</v>
      </c>
      <c r="L92" t="s">
        <v>12</v>
      </c>
      <c r="M92">
        <v>1024</v>
      </c>
      <c r="N92">
        <f t="shared" si="3"/>
        <v>6.0669500380859378E-3</v>
      </c>
      <c r="O92" s="1">
        <f t="shared" si="4"/>
        <v>1.4957041015625001E-6</v>
      </c>
      <c r="P92">
        <v>0</v>
      </c>
    </row>
    <row r="93" spans="1:16" x14ac:dyDescent="0.35">
      <c r="A93">
        <v>5</v>
      </c>
      <c r="B93">
        <v>1</v>
      </c>
      <c r="C93">
        <v>11</v>
      </c>
      <c r="D93">
        <v>3</v>
      </c>
      <c r="E93">
        <v>2</v>
      </c>
      <c r="F93">
        <v>17</v>
      </c>
      <c r="G93">
        <v>6.3216133120000002</v>
      </c>
      <c r="H93">
        <v>1.5234949999999999E-3</v>
      </c>
      <c r="I93" t="s">
        <v>342</v>
      </c>
      <c r="J93" t="s">
        <v>343</v>
      </c>
      <c r="K93" t="s">
        <v>342</v>
      </c>
      <c r="L93" t="s">
        <v>12</v>
      </c>
      <c r="M93">
        <v>1024</v>
      </c>
      <c r="N93">
        <f t="shared" si="3"/>
        <v>6.1734505000000002E-3</v>
      </c>
      <c r="O93" s="1">
        <f t="shared" si="4"/>
        <v>1.4877880859374999E-6</v>
      </c>
      <c r="P93">
        <v>1</v>
      </c>
    </row>
    <row r="94" spans="1:16" x14ac:dyDescent="0.35">
      <c r="A94">
        <v>5</v>
      </c>
      <c r="B94">
        <v>1</v>
      </c>
      <c r="C94">
        <v>11</v>
      </c>
      <c r="D94">
        <v>1</v>
      </c>
      <c r="E94">
        <v>4</v>
      </c>
      <c r="F94">
        <v>17</v>
      </c>
      <c r="G94">
        <v>6.4640998840000004</v>
      </c>
      <c r="H94">
        <v>1.529217E-3</v>
      </c>
      <c r="I94" t="s">
        <v>178</v>
      </c>
      <c r="J94" t="s">
        <v>344</v>
      </c>
      <c r="K94" t="s">
        <v>178</v>
      </c>
      <c r="L94" t="s">
        <v>12</v>
      </c>
      <c r="M94">
        <v>1024</v>
      </c>
      <c r="N94">
        <f t="shared" si="3"/>
        <v>6.3125975429687503E-3</v>
      </c>
      <c r="O94" s="1">
        <f t="shared" si="4"/>
        <v>1.4933759765625E-6</v>
      </c>
      <c r="P94">
        <v>2</v>
      </c>
    </row>
    <row r="95" spans="1:16" x14ac:dyDescent="0.35">
      <c r="A95">
        <v>5</v>
      </c>
      <c r="B95">
        <v>1</v>
      </c>
      <c r="C95">
        <v>11</v>
      </c>
      <c r="D95">
        <v>4</v>
      </c>
      <c r="E95">
        <v>1</v>
      </c>
      <c r="F95">
        <v>17</v>
      </c>
      <c r="G95">
        <v>6.9526078699999996</v>
      </c>
      <c r="H95">
        <v>1.5392299999999999E-3</v>
      </c>
      <c r="I95" t="s">
        <v>171</v>
      </c>
      <c r="J95" t="s">
        <v>171</v>
      </c>
      <c r="K95" t="s">
        <v>171</v>
      </c>
      <c r="L95" t="s">
        <v>12</v>
      </c>
      <c r="M95">
        <v>1024</v>
      </c>
      <c r="N95">
        <f t="shared" si="3"/>
        <v>6.7896561230468746E-3</v>
      </c>
      <c r="O95" s="1">
        <f t="shared" si="4"/>
        <v>1.5031542968749999E-6</v>
      </c>
      <c r="P95">
        <v>0</v>
      </c>
    </row>
    <row r="96" spans="1:16" x14ac:dyDescent="0.35">
      <c r="A96">
        <v>5</v>
      </c>
      <c r="B96">
        <v>1</v>
      </c>
      <c r="C96">
        <v>11</v>
      </c>
      <c r="D96">
        <v>3</v>
      </c>
      <c r="E96">
        <v>2</v>
      </c>
      <c r="F96">
        <v>17</v>
      </c>
      <c r="G96">
        <v>6.5360381600000004</v>
      </c>
      <c r="H96">
        <v>1.6293530000000001E-3</v>
      </c>
      <c r="I96" t="s">
        <v>345</v>
      </c>
      <c r="J96" t="s">
        <v>346</v>
      </c>
      <c r="K96" t="s">
        <v>345</v>
      </c>
      <c r="L96" t="s">
        <v>12</v>
      </c>
      <c r="M96">
        <v>1024</v>
      </c>
      <c r="N96">
        <f t="shared" si="3"/>
        <v>6.3828497656250004E-3</v>
      </c>
      <c r="O96" s="1">
        <f t="shared" si="4"/>
        <v>1.5911650390625001E-6</v>
      </c>
      <c r="P96">
        <v>1</v>
      </c>
    </row>
    <row r="97" spans="1:16" x14ac:dyDescent="0.35">
      <c r="A97">
        <v>5</v>
      </c>
      <c r="B97">
        <v>1</v>
      </c>
      <c r="C97">
        <v>11</v>
      </c>
      <c r="D97">
        <v>3</v>
      </c>
      <c r="E97">
        <v>2</v>
      </c>
      <c r="F97">
        <v>17</v>
      </c>
      <c r="G97">
        <v>6.4418456549999998</v>
      </c>
      <c r="H97">
        <v>1.565933E-3</v>
      </c>
      <c r="I97" t="s">
        <v>347</v>
      </c>
      <c r="J97" t="s">
        <v>346</v>
      </c>
      <c r="K97" t="s">
        <v>347</v>
      </c>
      <c r="L97" t="s">
        <v>12</v>
      </c>
      <c r="M97">
        <v>1024</v>
      </c>
      <c r="N97">
        <f t="shared" si="3"/>
        <v>6.2908648974609373E-3</v>
      </c>
      <c r="O97" s="1">
        <f t="shared" si="4"/>
        <v>1.5292314453125E-6</v>
      </c>
      <c r="P97">
        <v>1</v>
      </c>
    </row>
    <row r="98" spans="1:16" x14ac:dyDescent="0.35">
      <c r="A98">
        <v>5</v>
      </c>
      <c r="B98">
        <v>1</v>
      </c>
      <c r="C98">
        <v>11</v>
      </c>
      <c r="D98">
        <v>2</v>
      </c>
      <c r="E98">
        <v>3</v>
      </c>
      <c r="F98">
        <v>17</v>
      </c>
      <c r="G98">
        <v>6.6429960729999999</v>
      </c>
      <c r="H98">
        <v>1.557112E-3</v>
      </c>
      <c r="I98" t="s">
        <v>348</v>
      </c>
      <c r="J98" t="s">
        <v>348</v>
      </c>
      <c r="K98" t="s">
        <v>348</v>
      </c>
      <c r="L98" t="s">
        <v>12</v>
      </c>
      <c r="M98">
        <v>1024</v>
      </c>
      <c r="N98">
        <f t="shared" si="3"/>
        <v>6.4873008525390624E-3</v>
      </c>
      <c r="O98" s="1">
        <f t="shared" si="4"/>
        <v>1.5206171875E-6</v>
      </c>
      <c r="P98">
        <v>0</v>
      </c>
    </row>
    <row r="99" spans="1:16" x14ac:dyDescent="0.35">
      <c r="A99">
        <v>5</v>
      </c>
      <c r="B99">
        <v>1</v>
      </c>
      <c r="C99">
        <v>11</v>
      </c>
      <c r="D99">
        <v>2</v>
      </c>
      <c r="E99">
        <v>3</v>
      </c>
      <c r="F99">
        <v>17</v>
      </c>
      <c r="G99">
        <v>6.6894741059999996</v>
      </c>
      <c r="H99">
        <v>2.0067689999999998E-3</v>
      </c>
      <c r="I99" t="s">
        <v>349</v>
      </c>
      <c r="J99" t="s">
        <v>349</v>
      </c>
      <c r="K99" t="s">
        <v>349</v>
      </c>
      <c r="L99" t="s">
        <v>12</v>
      </c>
      <c r="M99">
        <v>1024</v>
      </c>
      <c r="N99">
        <f t="shared" si="3"/>
        <v>6.5326895566406246E-3</v>
      </c>
      <c r="O99" s="1">
        <f t="shared" si="4"/>
        <v>1.9597353515624998E-6</v>
      </c>
      <c r="P99">
        <v>0</v>
      </c>
    </row>
    <row r="100" spans="1:16" x14ac:dyDescent="0.35">
      <c r="A100">
        <v>5</v>
      </c>
      <c r="B100">
        <v>1</v>
      </c>
      <c r="C100">
        <v>11</v>
      </c>
      <c r="D100">
        <v>4</v>
      </c>
      <c r="E100">
        <v>1</v>
      </c>
      <c r="F100">
        <v>17</v>
      </c>
      <c r="G100">
        <v>6.5679318899999997</v>
      </c>
      <c r="H100">
        <v>1.6455650000000001E-3</v>
      </c>
      <c r="I100" t="s">
        <v>350</v>
      </c>
      <c r="J100" t="s">
        <v>350</v>
      </c>
      <c r="K100" t="s">
        <v>350</v>
      </c>
      <c r="L100" t="s">
        <v>12</v>
      </c>
      <c r="M100">
        <v>1024</v>
      </c>
      <c r="N100">
        <f t="shared" si="3"/>
        <v>6.4139959863281247E-3</v>
      </c>
      <c r="O100" s="1">
        <f t="shared" si="4"/>
        <v>1.6069970703125001E-6</v>
      </c>
      <c r="P100">
        <v>0</v>
      </c>
    </row>
    <row r="101" spans="1:16" x14ac:dyDescent="0.35">
      <c r="A101">
        <v>5</v>
      </c>
      <c r="B101">
        <v>1</v>
      </c>
      <c r="C101">
        <v>11</v>
      </c>
      <c r="D101">
        <v>2</v>
      </c>
      <c r="E101">
        <v>3</v>
      </c>
      <c r="F101">
        <v>17</v>
      </c>
      <c r="G101">
        <v>6.5680973529999997</v>
      </c>
      <c r="H101">
        <v>1.7595289999999999E-3</v>
      </c>
      <c r="I101" t="s">
        <v>177</v>
      </c>
      <c r="J101" t="s">
        <v>177</v>
      </c>
      <c r="K101" t="s">
        <v>177</v>
      </c>
      <c r="L101" t="s">
        <v>12</v>
      </c>
      <c r="M101">
        <v>1024</v>
      </c>
      <c r="N101">
        <f t="shared" si="3"/>
        <v>6.4141575712890623E-3</v>
      </c>
      <c r="O101" s="1">
        <f t="shared" si="4"/>
        <v>1.7182900390624999E-6</v>
      </c>
      <c r="P101">
        <v>0</v>
      </c>
    </row>
    <row r="102" spans="1:16" x14ac:dyDescent="0.35">
      <c r="A102">
        <v>4</v>
      </c>
      <c r="B102">
        <v>1</v>
      </c>
      <c r="C102">
        <v>9</v>
      </c>
      <c r="D102">
        <v>2</v>
      </c>
      <c r="E102">
        <v>2</v>
      </c>
      <c r="F102">
        <v>14</v>
      </c>
      <c r="G102">
        <v>7.4147675040000003</v>
      </c>
      <c r="H102">
        <v>1.471043E-3</v>
      </c>
      <c r="I102" t="s">
        <v>351</v>
      </c>
      <c r="J102" t="s">
        <v>351</v>
      </c>
      <c r="K102" t="s">
        <v>351</v>
      </c>
      <c r="L102" t="s">
        <v>13</v>
      </c>
      <c r="M102">
        <v>1024</v>
      </c>
      <c r="N102">
        <f t="shared" si="3"/>
        <v>7.2409838906250003E-3</v>
      </c>
      <c r="O102" s="1">
        <f t="shared" si="4"/>
        <v>1.4365654296875E-6</v>
      </c>
      <c r="P102">
        <v>0</v>
      </c>
    </row>
    <row r="103" spans="1:16" x14ac:dyDescent="0.35">
      <c r="A103">
        <v>4</v>
      </c>
      <c r="B103">
        <v>1</v>
      </c>
      <c r="C103">
        <v>9</v>
      </c>
      <c r="D103">
        <v>2</v>
      </c>
      <c r="E103">
        <v>2</v>
      </c>
      <c r="F103">
        <v>14</v>
      </c>
      <c r="G103">
        <v>8.6537437439999998</v>
      </c>
      <c r="H103">
        <v>1.4631749999999999E-3</v>
      </c>
      <c r="I103" t="s">
        <v>352</v>
      </c>
      <c r="J103" t="s">
        <v>352</v>
      </c>
      <c r="K103" t="s">
        <v>352</v>
      </c>
      <c r="L103" t="s">
        <v>13</v>
      </c>
      <c r="M103">
        <v>1024</v>
      </c>
      <c r="N103">
        <f t="shared" si="3"/>
        <v>8.4509216249999998E-3</v>
      </c>
      <c r="O103" s="1">
        <f t="shared" si="4"/>
        <v>1.4288818359374999E-6</v>
      </c>
      <c r="P103">
        <v>0</v>
      </c>
    </row>
    <row r="104" spans="1:16" x14ac:dyDescent="0.35">
      <c r="A104">
        <v>4</v>
      </c>
      <c r="B104">
        <v>1</v>
      </c>
      <c r="C104">
        <v>9</v>
      </c>
      <c r="D104">
        <v>1</v>
      </c>
      <c r="E104">
        <v>3</v>
      </c>
      <c r="F104">
        <v>14</v>
      </c>
      <c r="G104">
        <v>7.6899871830000004</v>
      </c>
      <c r="H104">
        <v>1.5947820000000001E-3</v>
      </c>
      <c r="I104" t="s">
        <v>184</v>
      </c>
      <c r="J104" t="s">
        <v>184</v>
      </c>
      <c r="K104" t="s">
        <v>184</v>
      </c>
      <c r="L104" t="s">
        <v>13</v>
      </c>
      <c r="M104">
        <v>1024</v>
      </c>
      <c r="N104">
        <f t="shared" si="3"/>
        <v>7.5097531083984379E-3</v>
      </c>
      <c r="O104" s="1">
        <f t="shared" si="4"/>
        <v>1.5574042968750001E-6</v>
      </c>
      <c r="P104">
        <v>0</v>
      </c>
    </row>
    <row r="105" spans="1:16" x14ac:dyDescent="0.35">
      <c r="A105">
        <v>4</v>
      </c>
      <c r="B105">
        <v>1</v>
      </c>
      <c r="C105">
        <v>9</v>
      </c>
      <c r="D105">
        <v>0</v>
      </c>
      <c r="E105">
        <v>4</v>
      </c>
      <c r="F105">
        <v>14</v>
      </c>
      <c r="G105">
        <v>7.6496624950000003</v>
      </c>
      <c r="H105">
        <v>1.4693740000000001E-3</v>
      </c>
      <c r="I105" t="s">
        <v>353</v>
      </c>
      <c r="J105" t="s">
        <v>353</v>
      </c>
      <c r="K105" t="s">
        <v>353</v>
      </c>
      <c r="L105" t="s">
        <v>13</v>
      </c>
      <c r="M105">
        <v>1024</v>
      </c>
      <c r="N105">
        <f t="shared" si="3"/>
        <v>7.4703735302734378E-3</v>
      </c>
      <c r="O105" s="1">
        <f t="shared" si="4"/>
        <v>1.4349355468750001E-6</v>
      </c>
      <c r="P105">
        <v>0</v>
      </c>
    </row>
    <row r="106" spans="1:16" x14ac:dyDescent="0.35">
      <c r="A106">
        <v>4</v>
      </c>
      <c r="B106">
        <v>1</v>
      </c>
      <c r="C106">
        <v>9</v>
      </c>
      <c r="D106">
        <v>3</v>
      </c>
      <c r="E106">
        <v>1</v>
      </c>
      <c r="F106">
        <v>14</v>
      </c>
      <c r="G106">
        <v>7.442036152</v>
      </c>
      <c r="H106">
        <v>1.428604E-3</v>
      </c>
      <c r="I106" t="s">
        <v>181</v>
      </c>
      <c r="J106" t="s">
        <v>181</v>
      </c>
      <c r="K106" t="s">
        <v>181</v>
      </c>
      <c r="L106" t="s">
        <v>13</v>
      </c>
      <c r="M106">
        <v>1024</v>
      </c>
      <c r="N106">
        <f t="shared" si="3"/>
        <v>7.2676134296875E-3</v>
      </c>
      <c r="O106" s="1">
        <f t="shared" si="4"/>
        <v>1.39512109375E-6</v>
      </c>
      <c r="P106">
        <v>0</v>
      </c>
    </row>
    <row r="107" spans="1:16" x14ac:dyDescent="0.35">
      <c r="A107">
        <v>4</v>
      </c>
      <c r="B107">
        <v>1</v>
      </c>
      <c r="C107">
        <v>9</v>
      </c>
      <c r="D107">
        <v>3</v>
      </c>
      <c r="E107">
        <v>1</v>
      </c>
      <c r="F107">
        <v>14</v>
      </c>
      <c r="G107">
        <v>8.0239069460000003</v>
      </c>
      <c r="H107">
        <v>1.5294550000000001E-3</v>
      </c>
      <c r="I107" t="s">
        <v>182</v>
      </c>
      <c r="J107" t="s">
        <v>182</v>
      </c>
      <c r="K107" t="s">
        <v>182</v>
      </c>
      <c r="L107" t="s">
        <v>13</v>
      </c>
      <c r="M107">
        <v>1024</v>
      </c>
      <c r="N107">
        <f t="shared" si="3"/>
        <v>7.8358466269531253E-3</v>
      </c>
      <c r="O107" s="1">
        <f t="shared" si="4"/>
        <v>1.4936083984375001E-6</v>
      </c>
      <c r="P107">
        <v>0</v>
      </c>
    </row>
    <row r="108" spans="1:16" x14ac:dyDescent="0.35">
      <c r="A108">
        <v>4</v>
      </c>
      <c r="B108">
        <v>1</v>
      </c>
      <c r="C108">
        <v>9</v>
      </c>
      <c r="D108">
        <v>4</v>
      </c>
      <c r="E108">
        <v>0</v>
      </c>
      <c r="F108">
        <v>14</v>
      </c>
      <c r="G108">
        <v>7.446475983</v>
      </c>
      <c r="H108">
        <v>1.394749E-3</v>
      </c>
      <c r="I108" t="s">
        <v>186</v>
      </c>
      <c r="J108" t="s">
        <v>186</v>
      </c>
      <c r="K108" t="s">
        <v>186</v>
      </c>
      <c r="L108" t="s">
        <v>13</v>
      </c>
      <c r="M108">
        <v>1024</v>
      </c>
      <c r="N108">
        <f t="shared" si="3"/>
        <v>7.2719492021484375E-3</v>
      </c>
      <c r="O108" s="1">
        <f t="shared" si="4"/>
        <v>1.3620595703125E-6</v>
      </c>
      <c r="P108">
        <v>0</v>
      </c>
    </row>
    <row r="109" spans="1:16" x14ac:dyDescent="0.35">
      <c r="A109">
        <v>4</v>
      </c>
      <c r="B109">
        <v>1</v>
      </c>
      <c r="C109">
        <v>9</v>
      </c>
      <c r="D109">
        <v>2</v>
      </c>
      <c r="E109">
        <v>2</v>
      </c>
      <c r="F109">
        <v>14</v>
      </c>
      <c r="G109">
        <v>7.5686633590000003</v>
      </c>
      <c r="H109">
        <v>1.4736650000000001E-3</v>
      </c>
      <c r="I109" t="s">
        <v>180</v>
      </c>
      <c r="J109" t="s">
        <v>180</v>
      </c>
      <c r="K109" t="s">
        <v>180</v>
      </c>
      <c r="L109" t="s">
        <v>13</v>
      </c>
      <c r="M109">
        <v>1024</v>
      </c>
      <c r="N109">
        <f t="shared" si="3"/>
        <v>7.3912728115234378E-3</v>
      </c>
      <c r="O109" s="1">
        <f t="shared" si="4"/>
        <v>1.4391259765625001E-6</v>
      </c>
      <c r="P109">
        <v>0</v>
      </c>
    </row>
    <row r="110" spans="1:16" x14ac:dyDescent="0.35">
      <c r="A110">
        <v>4</v>
      </c>
      <c r="B110">
        <v>1</v>
      </c>
      <c r="C110">
        <v>9</v>
      </c>
      <c r="D110">
        <v>3</v>
      </c>
      <c r="E110">
        <v>1</v>
      </c>
      <c r="F110">
        <v>14</v>
      </c>
      <c r="G110">
        <v>7.5001966949999996</v>
      </c>
      <c r="H110">
        <v>1.563311E-3</v>
      </c>
      <c r="I110" t="s">
        <v>185</v>
      </c>
      <c r="J110" t="s">
        <v>185</v>
      </c>
      <c r="K110" t="s">
        <v>185</v>
      </c>
      <c r="L110" t="s">
        <v>13</v>
      </c>
      <c r="M110">
        <v>1024</v>
      </c>
      <c r="N110">
        <f t="shared" si="3"/>
        <v>7.3244108349609371E-3</v>
      </c>
      <c r="O110" s="1">
        <f t="shared" si="4"/>
        <v>1.5266708984375E-6</v>
      </c>
      <c r="P110">
        <v>0</v>
      </c>
    </row>
    <row r="111" spans="1:16" x14ac:dyDescent="0.35">
      <c r="A111">
        <v>4</v>
      </c>
      <c r="B111">
        <v>1</v>
      </c>
      <c r="C111">
        <v>9</v>
      </c>
      <c r="D111">
        <v>1</v>
      </c>
      <c r="E111">
        <v>3</v>
      </c>
      <c r="F111">
        <v>14</v>
      </c>
      <c r="G111">
        <v>7.4747719760000004</v>
      </c>
      <c r="H111">
        <v>1.4896390000000001E-3</v>
      </c>
      <c r="I111" t="s">
        <v>354</v>
      </c>
      <c r="J111" t="s">
        <v>354</v>
      </c>
      <c r="K111" t="s">
        <v>354</v>
      </c>
      <c r="L111" t="s">
        <v>13</v>
      </c>
      <c r="M111">
        <v>1024</v>
      </c>
      <c r="N111">
        <f t="shared" si="3"/>
        <v>7.2995820078125004E-3</v>
      </c>
      <c r="O111" s="1">
        <f t="shared" si="4"/>
        <v>1.4547255859375001E-6</v>
      </c>
      <c r="P111">
        <v>0</v>
      </c>
    </row>
    <row r="112" spans="1:16" x14ac:dyDescent="0.35">
      <c r="A112">
        <v>3</v>
      </c>
      <c r="B112">
        <v>1</v>
      </c>
      <c r="C112">
        <v>7</v>
      </c>
      <c r="D112">
        <v>1</v>
      </c>
      <c r="E112">
        <v>2</v>
      </c>
      <c r="F112">
        <v>11</v>
      </c>
      <c r="G112">
        <v>7.5682723520000001</v>
      </c>
      <c r="H112">
        <v>1.30105E-3</v>
      </c>
      <c r="I112" t="s">
        <v>187</v>
      </c>
      <c r="J112" t="s">
        <v>187</v>
      </c>
      <c r="K112" t="s">
        <v>187</v>
      </c>
      <c r="L112" t="s">
        <v>13</v>
      </c>
      <c r="M112">
        <v>1024</v>
      </c>
      <c r="N112">
        <f t="shared" si="3"/>
        <v>7.3908909687500001E-3</v>
      </c>
      <c r="O112" s="1">
        <f t="shared" si="4"/>
        <v>1.270556640625E-6</v>
      </c>
      <c r="P112">
        <v>0</v>
      </c>
    </row>
    <row r="113" spans="1:16" x14ac:dyDescent="0.35">
      <c r="A113">
        <v>3</v>
      </c>
      <c r="B113">
        <v>1</v>
      </c>
      <c r="C113">
        <v>7</v>
      </c>
      <c r="D113">
        <v>3</v>
      </c>
      <c r="E113">
        <v>0</v>
      </c>
      <c r="F113">
        <v>11</v>
      </c>
      <c r="G113">
        <v>7.4498579500000002</v>
      </c>
      <c r="H113">
        <v>1.294374E-3</v>
      </c>
      <c r="I113" t="s">
        <v>193</v>
      </c>
      <c r="J113" t="s">
        <v>193</v>
      </c>
      <c r="K113" t="s">
        <v>193</v>
      </c>
      <c r="L113" t="s">
        <v>13</v>
      </c>
      <c r="M113">
        <v>1024</v>
      </c>
      <c r="N113">
        <f t="shared" si="3"/>
        <v>7.2752519042968752E-3</v>
      </c>
      <c r="O113" s="1">
        <f t="shared" si="4"/>
        <v>1.264037109375E-6</v>
      </c>
      <c r="P113">
        <v>0</v>
      </c>
    </row>
    <row r="114" spans="1:16" x14ac:dyDescent="0.35">
      <c r="A114">
        <v>3</v>
      </c>
      <c r="B114">
        <v>1</v>
      </c>
      <c r="C114">
        <v>7</v>
      </c>
      <c r="D114">
        <v>1</v>
      </c>
      <c r="E114">
        <v>2</v>
      </c>
      <c r="F114">
        <v>11</v>
      </c>
      <c r="G114">
        <v>7.3102493290000004</v>
      </c>
      <c r="H114">
        <v>1.329422E-3</v>
      </c>
      <c r="I114" t="s">
        <v>190</v>
      </c>
      <c r="J114" t="s">
        <v>190</v>
      </c>
      <c r="K114" t="s">
        <v>190</v>
      </c>
      <c r="L114" t="s">
        <v>13</v>
      </c>
      <c r="M114">
        <v>1024</v>
      </c>
      <c r="N114">
        <f t="shared" si="3"/>
        <v>7.1389153603515628E-3</v>
      </c>
      <c r="O114" s="1">
        <f t="shared" si="4"/>
        <v>1.298263671875E-6</v>
      </c>
      <c r="P114">
        <v>0</v>
      </c>
    </row>
    <row r="115" spans="1:16" x14ac:dyDescent="0.35">
      <c r="A115">
        <v>3</v>
      </c>
      <c r="B115">
        <v>1</v>
      </c>
      <c r="C115">
        <v>7</v>
      </c>
      <c r="D115">
        <v>1</v>
      </c>
      <c r="E115">
        <v>2</v>
      </c>
      <c r="F115">
        <v>11</v>
      </c>
      <c r="G115">
        <v>7.3111977579999996</v>
      </c>
      <c r="H115">
        <v>1.3396739999999999E-3</v>
      </c>
      <c r="I115" t="s">
        <v>355</v>
      </c>
      <c r="J115" t="s">
        <v>355</v>
      </c>
      <c r="K115" t="s">
        <v>355</v>
      </c>
      <c r="L115" t="s">
        <v>13</v>
      </c>
      <c r="M115">
        <v>1024</v>
      </c>
      <c r="N115">
        <f t="shared" si="3"/>
        <v>7.1398415605468746E-3</v>
      </c>
      <c r="O115" s="1">
        <f t="shared" si="4"/>
        <v>1.3082753906249999E-6</v>
      </c>
      <c r="P115">
        <v>0</v>
      </c>
    </row>
    <row r="116" spans="1:16" x14ac:dyDescent="0.35">
      <c r="A116">
        <v>3</v>
      </c>
      <c r="B116">
        <v>1</v>
      </c>
      <c r="C116">
        <v>7</v>
      </c>
      <c r="D116">
        <v>2</v>
      </c>
      <c r="E116">
        <v>1</v>
      </c>
      <c r="F116">
        <v>11</v>
      </c>
      <c r="G116">
        <v>7.3789258000000002</v>
      </c>
      <c r="H116">
        <v>1.4717580000000001E-3</v>
      </c>
      <c r="I116" t="s">
        <v>188</v>
      </c>
      <c r="J116" t="s">
        <v>188</v>
      </c>
      <c r="K116" t="s">
        <v>188</v>
      </c>
      <c r="L116" t="s">
        <v>13</v>
      </c>
      <c r="M116">
        <v>1024</v>
      </c>
      <c r="N116">
        <f t="shared" si="3"/>
        <v>7.2059822265625002E-3</v>
      </c>
      <c r="O116" s="1">
        <f t="shared" si="4"/>
        <v>1.4372636718750001E-6</v>
      </c>
      <c r="P116">
        <v>0</v>
      </c>
    </row>
    <row r="117" spans="1:16" x14ac:dyDescent="0.35">
      <c r="A117">
        <v>3</v>
      </c>
      <c r="B117">
        <v>1</v>
      </c>
      <c r="C117">
        <v>7</v>
      </c>
      <c r="D117">
        <v>2</v>
      </c>
      <c r="E117">
        <v>1</v>
      </c>
      <c r="F117">
        <v>11</v>
      </c>
      <c r="G117">
        <v>7.2252101900000003</v>
      </c>
      <c r="H117">
        <v>1.319885E-3</v>
      </c>
      <c r="I117" t="s">
        <v>189</v>
      </c>
      <c r="J117" t="s">
        <v>189</v>
      </c>
      <c r="K117" t="s">
        <v>189</v>
      </c>
      <c r="L117" t="s">
        <v>13</v>
      </c>
      <c r="M117">
        <v>1024</v>
      </c>
      <c r="N117">
        <f t="shared" si="3"/>
        <v>7.0558693261718753E-3</v>
      </c>
      <c r="O117" s="1">
        <f t="shared" si="4"/>
        <v>1.2889501953125E-6</v>
      </c>
      <c r="P117">
        <v>0</v>
      </c>
    </row>
    <row r="118" spans="1:16" x14ac:dyDescent="0.35">
      <c r="A118">
        <v>3</v>
      </c>
      <c r="B118">
        <v>1</v>
      </c>
      <c r="C118">
        <v>7</v>
      </c>
      <c r="D118">
        <v>0</v>
      </c>
      <c r="E118">
        <v>3</v>
      </c>
      <c r="F118">
        <v>11</v>
      </c>
      <c r="G118">
        <v>6.9665367600000003</v>
      </c>
      <c r="H118">
        <v>1.344919E-3</v>
      </c>
      <c r="I118" t="s">
        <v>191</v>
      </c>
      <c r="J118" t="s">
        <v>191</v>
      </c>
      <c r="K118" t="s">
        <v>191</v>
      </c>
      <c r="L118" t="s">
        <v>13</v>
      </c>
      <c r="M118">
        <v>1024</v>
      </c>
      <c r="N118">
        <f t="shared" si="3"/>
        <v>6.8032585546875003E-3</v>
      </c>
      <c r="O118" s="1">
        <f t="shared" si="4"/>
        <v>1.3133974609375E-6</v>
      </c>
      <c r="P118">
        <v>0</v>
      </c>
    </row>
    <row r="119" spans="1:16" x14ac:dyDescent="0.35">
      <c r="A119">
        <v>3</v>
      </c>
      <c r="B119">
        <v>1</v>
      </c>
      <c r="C119">
        <v>7</v>
      </c>
      <c r="D119">
        <v>2</v>
      </c>
      <c r="E119">
        <v>1</v>
      </c>
      <c r="F119">
        <v>11</v>
      </c>
      <c r="G119">
        <v>6.9948370459999998</v>
      </c>
      <c r="H119">
        <v>1.2972350000000001E-3</v>
      </c>
      <c r="I119" t="s">
        <v>192</v>
      </c>
      <c r="J119" t="s">
        <v>192</v>
      </c>
      <c r="K119" t="s">
        <v>192</v>
      </c>
      <c r="L119" t="s">
        <v>13</v>
      </c>
      <c r="M119">
        <v>1024</v>
      </c>
      <c r="N119">
        <f t="shared" si="3"/>
        <v>6.8308955527343748E-3</v>
      </c>
      <c r="O119" s="1">
        <f t="shared" si="4"/>
        <v>1.2668310546875001E-6</v>
      </c>
      <c r="P119">
        <v>0</v>
      </c>
    </row>
    <row r="120" spans="1:16" x14ac:dyDescent="0.35">
      <c r="A120">
        <v>2</v>
      </c>
      <c r="B120">
        <v>1</v>
      </c>
      <c r="C120">
        <v>5</v>
      </c>
      <c r="D120">
        <v>0</v>
      </c>
      <c r="E120">
        <v>2</v>
      </c>
      <c r="F120">
        <v>8</v>
      </c>
      <c r="G120">
        <v>7.3957817549999998</v>
      </c>
      <c r="H120">
        <v>1.2650490000000001E-3</v>
      </c>
      <c r="I120" t="s">
        <v>194</v>
      </c>
      <c r="J120" t="s">
        <v>194</v>
      </c>
      <c r="K120" t="s">
        <v>194</v>
      </c>
      <c r="L120" t="s">
        <v>13</v>
      </c>
      <c r="M120">
        <v>1024</v>
      </c>
      <c r="N120">
        <f t="shared" si="3"/>
        <v>7.2224431201171873E-3</v>
      </c>
      <c r="O120" s="1">
        <f t="shared" si="4"/>
        <v>1.2353994140625001E-6</v>
      </c>
      <c r="P120">
        <v>0</v>
      </c>
    </row>
    <row r="121" spans="1:16" x14ac:dyDescent="0.35">
      <c r="A121">
        <v>2</v>
      </c>
      <c r="B121">
        <v>1</v>
      </c>
      <c r="C121">
        <v>5</v>
      </c>
      <c r="D121">
        <v>2</v>
      </c>
      <c r="E121">
        <v>0</v>
      </c>
      <c r="F121">
        <v>8</v>
      </c>
      <c r="G121">
        <v>6.9910008909999997</v>
      </c>
      <c r="H121">
        <v>1.2631420000000001E-3</v>
      </c>
      <c r="I121" t="s">
        <v>197</v>
      </c>
      <c r="J121" t="s">
        <v>197</v>
      </c>
      <c r="K121" t="s">
        <v>197</v>
      </c>
      <c r="L121" t="s">
        <v>13</v>
      </c>
      <c r="M121">
        <v>1024</v>
      </c>
      <c r="N121">
        <f t="shared" si="3"/>
        <v>6.8271493076171872E-3</v>
      </c>
      <c r="O121" s="1">
        <f t="shared" si="4"/>
        <v>1.2335371093750001E-6</v>
      </c>
      <c r="P121">
        <v>0</v>
      </c>
    </row>
    <row r="122" spans="1:16" x14ac:dyDescent="0.35">
      <c r="A122">
        <v>2</v>
      </c>
      <c r="B122">
        <v>1</v>
      </c>
      <c r="C122">
        <v>5</v>
      </c>
      <c r="D122">
        <v>1</v>
      </c>
      <c r="E122">
        <v>1</v>
      </c>
      <c r="F122">
        <v>8</v>
      </c>
      <c r="G122">
        <v>7.1560714240000003</v>
      </c>
      <c r="H122">
        <v>1.18494E-3</v>
      </c>
      <c r="I122" t="s">
        <v>195</v>
      </c>
      <c r="J122" t="s">
        <v>195</v>
      </c>
      <c r="K122" t="s">
        <v>195</v>
      </c>
      <c r="L122" t="s">
        <v>13</v>
      </c>
      <c r="M122">
        <v>1024</v>
      </c>
      <c r="N122">
        <f t="shared" si="3"/>
        <v>6.9883510000000003E-3</v>
      </c>
      <c r="O122" s="1">
        <f t="shared" si="4"/>
        <v>1.15716796875E-6</v>
      </c>
      <c r="P122">
        <v>0</v>
      </c>
    </row>
    <row r="123" spans="1:16" x14ac:dyDescent="0.35">
      <c r="A123">
        <v>2</v>
      </c>
      <c r="B123">
        <v>1</v>
      </c>
      <c r="C123">
        <v>5</v>
      </c>
      <c r="D123">
        <v>1</v>
      </c>
      <c r="E123">
        <v>1</v>
      </c>
      <c r="F123">
        <v>8</v>
      </c>
      <c r="G123">
        <v>7.4678587910000003</v>
      </c>
      <c r="H123">
        <v>1.188517E-3</v>
      </c>
      <c r="I123" t="s">
        <v>196</v>
      </c>
      <c r="J123" t="s">
        <v>196</v>
      </c>
      <c r="K123" t="s">
        <v>196</v>
      </c>
      <c r="L123" t="s">
        <v>13</v>
      </c>
      <c r="M123">
        <v>1024</v>
      </c>
      <c r="N123">
        <f t="shared" si="3"/>
        <v>7.2928308505859378E-3</v>
      </c>
      <c r="O123" s="1">
        <f t="shared" si="4"/>
        <v>1.1606611328125E-6</v>
      </c>
      <c r="P123">
        <v>0</v>
      </c>
    </row>
    <row r="124" spans="1:16" x14ac:dyDescent="0.35">
      <c r="A124">
        <v>1</v>
      </c>
      <c r="B124">
        <v>1</v>
      </c>
      <c r="C124">
        <v>3</v>
      </c>
      <c r="D124">
        <v>1</v>
      </c>
      <c r="E124">
        <v>0</v>
      </c>
      <c r="F124">
        <v>5</v>
      </c>
      <c r="G124">
        <v>7.3694059850000002</v>
      </c>
      <c r="H124">
        <v>1.098871E-3</v>
      </c>
      <c r="I124" t="s">
        <v>23</v>
      </c>
      <c r="J124" t="s">
        <v>23</v>
      </c>
      <c r="K124" t="s">
        <v>23</v>
      </c>
      <c r="L124" t="s">
        <v>13</v>
      </c>
      <c r="M124">
        <v>1024</v>
      </c>
      <c r="N124">
        <f t="shared" si="3"/>
        <v>7.1966855322265627E-3</v>
      </c>
      <c r="O124" s="1">
        <f t="shared" si="4"/>
        <v>1.0731162109375E-6</v>
      </c>
      <c r="P124">
        <v>0</v>
      </c>
    </row>
    <row r="125" spans="1:16" x14ac:dyDescent="0.35">
      <c r="A125">
        <v>1</v>
      </c>
      <c r="B125">
        <v>1</v>
      </c>
      <c r="C125">
        <v>3</v>
      </c>
      <c r="D125">
        <v>0</v>
      </c>
      <c r="E125">
        <v>1</v>
      </c>
      <c r="F125">
        <v>5</v>
      </c>
      <c r="G125">
        <v>7.5954434869999998</v>
      </c>
      <c r="H125">
        <v>1.12319E-3</v>
      </c>
      <c r="I125" t="s">
        <v>198</v>
      </c>
      <c r="J125" t="s">
        <v>198</v>
      </c>
      <c r="K125" t="s">
        <v>198</v>
      </c>
      <c r="L125" t="s">
        <v>13</v>
      </c>
      <c r="M125">
        <v>1024</v>
      </c>
      <c r="N125">
        <f t="shared" si="3"/>
        <v>7.4174252802734373E-3</v>
      </c>
      <c r="O125" s="1">
        <f t="shared" si="4"/>
        <v>1.096865234375E-6</v>
      </c>
      <c r="P12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C13" zoomScale="220" zoomScaleNormal="220" workbookViewId="0">
      <selection activeCell="E22" sqref="E22"/>
    </sheetView>
  </sheetViews>
  <sheetFormatPr defaultRowHeight="14.5" x14ac:dyDescent="0.35"/>
  <cols>
    <col min="1" max="1" width="10.453125" customWidth="1"/>
    <col min="2" max="2" width="16.08984375" customWidth="1"/>
    <col min="3" max="3" width="12.36328125" bestFit="1" customWidth="1"/>
  </cols>
  <sheetData>
    <row r="1" spans="1:3" x14ac:dyDescent="0.35">
      <c r="A1" t="s">
        <v>357</v>
      </c>
      <c r="B1" t="s">
        <v>362</v>
      </c>
      <c r="C1" t="s">
        <v>363</v>
      </c>
    </row>
    <row r="2" spans="1:3" x14ac:dyDescent="0.35">
      <c r="A2" s="4">
        <v>1</v>
      </c>
      <c r="B2" s="3">
        <v>0</v>
      </c>
      <c r="C2">
        <v>0</v>
      </c>
    </row>
    <row r="3" spans="1:3" x14ac:dyDescent="0.35">
      <c r="A3" s="4">
        <v>2</v>
      </c>
      <c r="B3" s="3">
        <v>0</v>
      </c>
      <c r="C3">
        <v>0</v>
      </c>
    </row>
    <row r="4" spans="1:3" x14ac:dyDescent="0.35">
      <c r="A4" s="4">
        <v>3</v>
      </c>
      <c r="B4" s="3">
        <v>0</v>
      </c>
      <c r="C4">
        <v>0</v>
      </c>
    </row>
    <row r="5" spans="1:3" x14ac:dyDescent="0.35">
      <c r="A5" s="4">
        <v>4</v>
      </c>
      <c r="B5" s="3">
        <v>0</v>
      </c>
      <c r="C5">
        <v>0</v>
      </c>
    </row>
    <row r="6" spans="1:3" x14ac:dyDescent="0.35">
      <c r="A6" s="4">
        <v>5</v>
      </c>
      <c r="B6" s="7">
        <v>1.2727272727272727</v>
      </c>
      <c r="C6" s="7">
        <f t="shared" ref="C6:C15" si="0">B6/A6</f>
        <v>0.25454545454545452</v>
      </c>
    </row>
    <row r="7" spans="1:3" x14ac:dyDescent="0.35">
      <c r="A7" s="4">
        <v>6</v>
      </c>
      <c r="B7" s="7">
        <v>1.3636363636363635</v>
      </c>
      <c r="C7" s="7">
        <f t="shared" si="0"/>
        <v>0.22727272727272727</v>
      </c>
    </row>
    <row r="8" spans="1:3" x14ac:dyDescent="0.35">
      <c r="A8" s="4">
        <v>7</v>
      </c>
      <c r="B8" s="7">
        <v>1.2727272727272727</v>
      </c>
      <c r="C8" s="7">
        <f t="shared" si="0"/>
        <v>0.18181818181818182</v>
      </c>
    </row>
    <row r="9" spans="1:3" x14ac:dyDescent="0.35">
      <c r="A9" s="4">
        <v>8</v>
      </c>
      <c r="B9" s="7">
        <v>1.2727272727272727</v>
      </c>
      <c r="C9" s="7">
        <f t="shared" si="0"/>
        <v>0.15909090909090909</v>
      </c>
    </row>
    <row r="10" spans="1:3" x14ac:dyDescent="0.35">
      <c r="A10" s="4">
        <v>9</v>
      </c>
      <c r="B10" s="7">
        <v>2.1818181818181817</v>
      </c>
      <c r="C10" s="7">
        <f t="shared" si="0"/>
        <v>0.2424242424242424</v>
      </c>
    </row>
    <row r="11" spans="1:3" x14ac:dyDescent="0.35">
      <c r="A11" s="4">
        <v>10</v>
      </c>
      <c r="B11" s="7">
        <v>2.2727272727272729</v>
      </c>
      <c r="C11" s="7">
        <f t="shared" si="0"/>
        <v>0.22727272727272729</v>
      </c>
    </row>
    <row r="12" spans="1:3" x14ac:dyDescent="0.35">
      <c r="A12" s="4">
        <v>11</v>
      </c>
      <c r="B12" s="7">
        <v>2.1818181818181817</v>
      </c>
      <c r="C12" s="7">
        <f t="shared" si="0"/>
        <v>0.19834710743801651</v>
      </c>
    </row>
    <row r="13" spans="1:3" x14ac:dyDescent="0.35">
      <c r="A13" s="4">
        <v>12</v>
      </c>
      <c r="B13" s="7">
        <v>3.1818181818181817</v>
      </c>
      <c r="C13" s="7">
        <f t="shared" si="0"/>
        <v>0.26515151515151514</v>
      </c>
    </row>
    <row r="14" spans="1:3" x14ac:dyDescent="0.35">
      <c r="A14" s="4">
        <v>13</v>
      </c>
      <c r="B14" s="7">
        <v>3.9090909090909092</v>
      </c>
      <c r="C14" s="7">
        <f t="shared" si="0"/>
        <v>0.30069930069930073</v>
      </c>
    </row>
    <row r="15" spans="1:3" x14ac:dyDescent="0.35">
      <c r="A15" s="4">
        <v>14</v>
      </c>
      <c r="B15" s="7">
        <v>4.5454545454545459</v>
      </c>
      <c r="C15" s="7">
        <f t="shared" si="0"/>
        <v>0.32467532467532473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5"/>
  <sheetViews>
    <sheetView tabSelected="1" topLeftCell="C6" zoomScale="220" zoomScaleNormal="220" workbookViewId="0">
      <selection activeCell="O27" sqref="O27"/>
    </sheetView>
  </sheetViews>
  <sheetFormatPr defaultRowHeight="14.5" x14ac:dyDescent="0.35"/>
  <cols>
    <col min="1" max="1" width="9.08984375" bestFit="1" customWidth="1"/>
    <col min="2" max="2" width="11.1796875" customWidth="1"/>
    <col min="3" max="3" width="10.36328125" bestFit="1" customWidth="1"/>
  </cols>
  <sheetData>
    <row r="3" spans="1:2" x14ac:dyDescent="0.35">
      <c r="A3" s="5" t="s">
        <v>361</v>
      </c>
      <c r="B3" t="s">
        <v>360</v>
      </c>
    </row>
    <row r="4" spans="1:2" x14ac:dyDescent="0.35">
      <c r="A4" s="4">
        <v>1</v>
      </c>
      <c r="B4" s="3">
        <v>0</v>
      </c>
    </row>
    <row r="5" spans="1:2" x14ac:dyDescent="0.35">
      <c r="A5" s="4">
        <v>2</v>
      </c>
      <c r="B5" s="3">
        <v>0</v>
      </c>
    </row>
    <row r="6" spans="1:2" x14ac:dyDescent="0.35">
      <c r="A6" s="4">
        <v>3</v>
      </c>
      <c r="B6" s="3">
        <v>0</v>
      </c>
    </row>
    <row r="7" spans="1:2" x14ac:dyDescent="0.35">
      <c r="A7" s="4">
        <v>4</v>
      </c>
      <c r="B7" s="3">
        <v>0</v>
      </c>
    </row>
    <row r="8" spans="1:2" x14ac:dyDescent="0.35">
      <c r="A8" s="4">
        <v>5</v>
      </c>
      <c r="B8" s="3">
        <v>0.5</v>
      </c>
    </row>
    <row r="9" spans="1:2" x14ac:dyDescent="0.35">
      <c r="A9" s="4">
        <v>6</v>
      </c>
      <c r="B9" s="3">
        <v>0.7</v>
      </c>
    </row>
    <row r="10" spans="1:2" x14ac:dyDescent="0.35">
      <c r="A10" s="4">
        <v>7</v>
      </c>
      <c r="B10" s="3">
        <v>1.1000000000000001</v>
      </c>
    </row>
    <row r="11" spans="1:2" x14ac:dyDescent="0.35">
      <c r="A11" s="4">
        <v>8</v>
      </c>
      <c r="B11" s="3">
        <v>1.7</v>
      </c>
    </row>
    <row r="12" spans="1:2" x14ac:dyDescent="0.35">
      <c r="A12" s="4">
        <v>9</v>
      </c>
      <c r="B12" s="3">
        <v>1.9</v>
      </c>
    </row>
    <row r="13" spans="1:2" x14ac:dyDescent="0.35">
      <c r="A13" s="4">
        <v>10</v>
      </c>
      <c r="B13" s="3">
        <v>3.1</v>
      </c>
    </row>
    <row r="14" spans="1:2" x14ac:dyDescent="0.35">
      <c r="A14" s="4">
        <v>11</v>
      </c>
      <c r="B14" s="3">
        <v>4.2</v>
      </c>
    </row>
    <row r="15" spans="1:2" x14ac:dyDescent="0.35">
      <c r="A15" s="4">
        <v>12</v>
      </c>
      <c r="B15" s="3">
        <v>3.5</v>
      </c>
    </row>
    <row r="16" spans="1:2" x14ac:dyDescent="0.35">
      <c r="A16" s="4">
        <v>13</v>
      </c>
      <c r="B16" s="3">
        <v>3.4</v>
      </c>
    </row>
    <row r="17" spans="1:3" x14ac:dyDescent="0.35">
      <c r="A17" s="4">
        <v>14</v>
      </c>
      <c r="B17" s="3">
        <v>4</v>
      </c>
    </row>
    <row r="18" spans="1:3" x14ac:dyDescent="0.35">
      <c r="A18" s="4" t="s">
        <v>359</v>
      </c>
      <c r="B18" s="3"/>
    </row>
    <row r="19" spans="1:3" x14ac:dyDescent="0.35">
      <c r="A19" s="4" t="s">
        <v>358</v>
      </c>
      <c r="B19" s="3">
        <v>1.9435483870967742</v>
      </c>
    </row>
    <row r="21" spans="1:3" x14ac:dyDescent="0.35">
      <c r="A21" t="s">
        <v>357</v>
      </c>
      <c r="B21" t="s">
        <v>362</v>
      </c>
      <c r="C21" t="s">
        <v>363</v>
      </c>
    </row>
    <row r="22" spans="1:3" x14ac:dyDescent="0.35">
      <c r="A22" s="4">
        <v>1</v>
      </c>
      <c r="B22" s="7">
        <v>0</v>
      </c>
      <c r="C22" s="7">
        <f t="shared" ref="C22:C35" si="0">B22/A22</f>
        <v>0</v>
      </c>
    </row>
    <row r="23" spans="1:3" x14ac:dyDescent="0.35">
      <c r="A23" s="4">
        <v>2</v>
      </c>
      <c r="B23" s="7">
        <v>0</v>
      </c>
      <c r="C23" s="7">
        <f t="shared" si="0"/>
        <v>0</v>
      </c>
    </row>
    <row r="24" spans="1:3" x14ac:dyDescent="0.35">
      <c r="A24" s="4">
        <v>3</v>
      </c>
      <c r="B24" s="7">
        <v>0</v>
      </c>
      <c r="C24" s="7">
        <f t="shared" si="0"/>
        <v>0</v>
      </c>
    </row>
    <row r="25" spans="1:3" x14ac:dyDescent="0.35">
      <c r="A25" s="4">
        <v>4</v>
      </c>
      <c r="B25" s="7">
        <v>0</v>
      </c>
      <c r="C25" s="7">
        <f t="shared" si="0"/>
        <v>0</v>
      </c>
    </row>
    <row r="26" spans="1:3" x14ac:dyDescent="0.35">
      <c r="A26" s="4">
        <v>5</v>
      </c>
      <c r="B26" s="7">
        <v>0.5</v>
      </c>
      <c r="C26" s="7">
        <f t="shared" si="0"/>
        <v>0.1</v>
      </c>
    </row>
    <row r="27" spans="1:3" x14ac:dyDescent="0.35">
      <c r="A27" s="4">
        <v>6</v>
      </c>
      <c r="B27" s="7">
        <v>0.7</v>
      </c>
      <c r="C27" s="7">
        <f t="shared" si="0"/>
        <v>0.11666666666666665</v>
      </c>
    </row>
    <row r="28" spans="1:3" x14ac:dyDescent="0.35">
      <c r="A28" s="4">
        <v>7</v>
      </c>
      <c r="B28" s="7">
        <v>1.1000000000000001</v>
      </c>
      <c r="C28" s="7">
        <f t="shared" si="0"/>
        <v>0.15714285714285717</v>
      </c>
    </row>
    <row r="29" spans="1:3" x14ac:dyDescent="0.35">
      <c r="A29" s="4">
        <v>8</v>
      </c>
      <c r="B29" s="7">
        <v>1.7</v>
      </c>
      <c r="C29" s="7">
        <f t="shared" si="0"/>
        <v>0.21249999999999999</v>
      </c>
    </row>
    <row r="30" spans="1:3" x14ac:dyDescent="0.35">
      <c r="A30" s="4">
        <v>9</v>
      </c>
      <c r="B30" s="7">
        <v>1.9</v>
      </c>
      <c r="C30" s="7">
        <f t="shared" si="0"/>
        <v>0.21111111111111111</v>
      </c>
    </row>
    <row r="31" spans="1:3" x14ac:dyDescent="0.35">
      <c r="A31" s="4">
        <v>10</v>
      </c>
      <c r="B31" s="7">
        <v>3.1</v>
      </c>
      <c r="C31" s="7">
        <f t="shared" si="0"/>
        <v>0.31</v>
      </c>
    </row>
    <row r="32" spans="1:3" x14ac:dyDescent="0.35">
      <c r="A32" s="4">
        <v>11</v>
      </c>
      <c r="B32" s="7">
        <v>4.2</v>
      </c>
      <c r="C32" s="7">
        <f t="shared" si="0"/>
        <v>0.38181818181818183</v>
      </c>
    </row>
    <row r="33" spans="1:3" x14ac:dyDescent="0.35">
      <c r="A33" s="4">
        <v>12</v>
      </c>
      <c r="B33" s="7">
        <v>3.5</v>
      </c>
      <c r="C33" s="7">
        <f t="shared" si="0"/>
        <v>0.29166666666666669</v>
      </c>
    </row>
    <row r="34" spans="1:3" x14ac:dyDescent="0.35">
      <c r="A34" s="4">
        <v>13</v>
      </c>
      <c r="B34" s="7">
        <v>3.4</v>
      </c>
      <c r="C34" s="7">
        <f t="shared" si="0"/>
        <v>0.26153846153846155</v>
      </c>
    </row>
    <row r="35" spans="1:3" x14ac:dyDescent="0.35">
      <c r="A35" s="4">
        <v>14</v>
      </c>
      <c r="B35" s="7">
        <v>4</v>
      </c>
      <c r="C35" s="7">
        <f t="shared" si="0"/>
        <v>0.2857142857142857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dj_data</vt:lpstr>
      <vt:lpstr>bv_data</vt:lpstr>
      <vt:lpstr>dj-error</vt:lpstr>
      <vt:lpstr>bv-error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Sihao Liu</dc:creator>
  <cp:lastModifiedBy>Sihao Liu</cp:lastModifiedBy>
  <dcterms:created xsi:type="dcterms:W3CDTF">2020-06-10T16:30:37Z</dcterms:created>
  <dcterms:modified xsi:type="dcterms:W3CDTF">2020-06-12T21:45:38Z</dcterms:modified>
</cp:coreProperties>
</file>